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kis.shmavonyan\Documents\001 ООиНО\Требование Минцифры\Финансовая модель\"/>
    </mc:Choice>
  </mc:AlternateContent>
  <xr:revisionPtr revIDLastSave="0" documentId="13_ncr:1_{4AC453F0-4A7D-4B51-97EF-23134C476BB1}" xr6:coauthVersionLast="47" xr6:coauthVersionMax="47" xr10:uidLastSave="{00000000-0000-0000-0000-000000000000}"/>
  <bookViews>
    <workbookView xWindow="4395" yWindow="1215" windowWidth="21600" windowHeight="11175" tabRatio="596" xr2:uid="{036E240E-0E1F-4E4B-BD87-35F3A4BFB05B}"/>
  </bookViews>
  <sheets>
    <sheet name="Светофор" sheetId="13" r:id="rId1"/>
    <sheet name="СВОД_финмодель" sheetId="9" r:id="rId2"/>
    <sheet name="Преподавание" sheetId="1" r:id="rId3"/>
    <sheet name="РПД" sheetId="10" r:id="rId4"/>
    <sheet name="ООП" sheetId="11" r:id="rId5"/>
    <sheet name="Стажировка" sheetId="2" r:id="rId6"/>
    <sheet name="ТОП ИТ" sheetId="8" r:id="rId7"/>
    <sheet name="Медианные значения МЦ" sheetId="3" r:id="rId8"/>
  </sheets>
  <definedNames>
    <definedName name="_xlnm._FilterDatabase" localSheetId="2" hidden="1">Преподавание!$H$1:$H$17</definedName>
    <definedName name="_xlnm._FilterDatabase" localSheetId="3" hidden="1">РПД!$A$14:$Q$24</definedName>
    <definedName name="_xlnm._FilterDatabase" localSheetId="5" hidden="1">Стажировка!$M$1:$M$58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2" i="1" l="1"/>
  <c r="P5" i="9"/>
  <c r="P6" i="9"/>
  <c r="P7" i="9" s="1"/>
  <c r="B4" i="9"/>
  <c r="O4" i="1"/>
  <c r="O2" i="1"/>
  <c r="A10" i="13" l="1"/>
  <c r="K16" i="10" l="1"/>
  <c r="Q4" i="1"/>
  <c r="L15" i="10"/>
  <c r="L18" i="10" l="1"/>
  <c r="K18" i="10"/>
  <c r="B35" i="13" l="1"/>
  <c r="B34" i="13"/>
  <c r="E22" i="10"/>
  <c r="E21" i="10"/>
  <c r="F21" i="10"/>
  <c r="J18" i="10"/>
  <c r="E35" i="13"/>
  <c r="E34" i="13"/>
  <c r="C34" i="13"/>
  <c r="E24" i="10" l="1"/>
  <c r="H22" i="10" l="1"/>
  <c r="G22" i="10"/>
  <c r="H21" i="10"/>
  <c r="G21" i="10"/>
  <c r="C30" i="10"/>
  <c r="D30" i="10" s="1"/>
  <c r="C29" i="10"/>
  <c r="D29" i="10" s="1"/>
  <c r="C28" i="10"/>
  <c r="D28" i="10" s="1"/>
  <c r="C23" i="10"/>
  <c r="C22" i="10"/>
  <c r="C21" i="10"/>
  <c r="E42" i="13"/>
  <c r="D42" i="13"/>
  <c r="C42" i="13"/>
  <c r="B42" i="13"/>
  <c r="B33" i="13"/>
  <c r="C33" i="13"/>
  <c r="D33" i="13"/>
  <c r="E33" i="13"/>
  <c r="D24" i="10" l="1"/>
  <c r="C24" i="10"/>
  <c r="G24" i="10"/>
  <c r="H24" i="10"/>
  <c r="F24" i="10"/>
  <c r="C35" i="13" s="1"/>
  <c r="I22" i="10"/>
  <c r="I23" i="10"/>
  <c r="D31" i="10"/>
  <c r="C12" i="2"/>
  <c r="J15" i="1"/>
  <c r="S5" i="1"/>
  <c r="I21" i="10" l="1"/>
  <c r="I24" i="10" s="1"/>
  <c r="R4" i="1"/>
  <c r="T4" i="1" s="1"/>
  <c r="F3" i="9" l="1"/>
  <c r="J12" i="1" l="1"/>
  <c r="N3" i="1"/>
  <c r="R2" i="1" l="1"/>
  <c r="T2" i="1" s="1"/>
  <c r="L5" i="2"/>
  <c r="L4" i="2"/>
  <c r="L3" i="2"/>
  <c r="Q5" i="1" l="1"/>
  <c r="E2" i="9"/>
  <c r="D2" i="9"/>
  <c r="C2" i="9"/>
  <c r="B2" i="9"/>
  <c r="D11" i="2"/>
  <c r="J8" i="1"/>
  <c r="J16" i="1" s="1"/>
  <c r="O5" i="1"/>
  <c r="J6" i="9"/>
  <c r="G2" i="9" l="1"/>
  <c r="F2" i="9"/>
  <c r="T5" i="1"/>
  <c r="R5" i="1"/>
  <c r="P6" i="13" s="1"/>
  <c r="G4" i="9"/>
  <c r="D4" i="9"/>
  <c r="H23" i="11"/>
  <c r="D10" i="2" l="1"/>
  <c r="B3" i="9"/>
  <c r="D3" i="9" s="1"/>
  <c r="D6" i="9" l="1"/>
  <c r="E6" i="9"/>
  <c r="B6" i="9"/>
  <c r="F6" i="9" s="1"/>
  <c r="C6" i="9"/>
  <c r="L6" i="2"/>
  <c r="D9" i="2"/>
  <c r="D8" i="2"/>
  <c r="D12" i="2" l="1"/>
  <c r="C10" i="13" l="1"/>
  <c r="M3" i="13" s="1"/>
  <c r="B5" i="9" l="1"/>
  <c r="F5" i="9" s="1"/>
  <c r="F4" i="9"/>
  <c r="C23" i="11"/>
  <c r="C3" i="9"/>
  <c r="C8" i="9" s="1"/>
  <c r="P2" i="9"/>
  <c r="G3" i="9" l="1"/>
  <c r="B5" i="8"/>
  <c r="F10" i="13" l="1"/>
  <c r="M4" i="13" s="1"/>
  <c r="F7" i="9"/>
  <c r="F8" i="9" s="1"/>
  <c r="B11" i="9"/>
  <c r="P3" i="9"/>
  <c r="B12" i="9"/>
  <c r="I10" i="13" l="1"/>
  <c r="M5" i="13" s="1"/>
  <c r="K8" i="9"/>
  <c r="J7" i="9"/>
  <c r="B13" i="9"/>
  <c r="L8" i="9" l="1"/>
  <c r="H12" i="3" l="1"/>
  <c r="F3" i="3"/>
  <c r="H3" i="3" s="1"/>
  <c r="N2" i="1" l="1"/>
  <c r="H11" i="3"/>
  <c r="K3" i="3"/>
  <c r="J3" i="3"/>
  <c r="I3" i="3"/>
  <c r="D8" i="9" l="1"/>
  <c r="B8" i="9"/>
  <c r="B10" i="9"/>
  <c r="C17" i="9" l="1"/>
  <c r="D17" i="9"/>
  <c r="I3" i="9"/>
  <c r="I8" i="9"/>
  <c r="I7" i="9"/>
  <c r="I2" i="9"/>
  <c r="I6" i="9"/>
  <c r="D10" i="9"/>
  <c r="B17" i="9"/>
  <c r="J8" i="9"/>
  <c r="F9" i="9" l="1"/>
  <c r="B9" i="9"/>
  <c r="D9" i="9"/>
  <c r="E8" i="9" l="1"/>
  <c r="G6" i="9"/>
  <c r="G8" i="9" s="1"/>
  <c r="G9" i="9" l="1"/>
  <c r="B18" i="9"/>
  <c r="H2" i="9"/>
  <c r="H3" i="9"/>
  <c r="H7" i="9"/>
  <c r="C9" i="9"/>
  <c r="E9" i="9"/>
  <c r="H6" i="9"/>
  <c r="H8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Юлия Черникина</author>
  </authors>
  <commentList>
    <comment ref="B22" authorId="0" shapeId="0" xr:uid="{59D4A371-96EB-4A29-93EB-EEEA74EC5165}">
      <text>
        <r>
          <rPr>
            <b/>
            <sz val="9"/>
            <color indexed="81"/>
            <rFont val="Tahoma"/>
            <family val="2"/>
            <charset val="204"/>
          </rPr>
          <t>Юлия Черникина:</t>
        </r>
        <r>
          <rPr>
            <sz val="9"/>
            <color indexed="81"/>
            <rFont val="Tahoma"/>
            <family val="2"/>
            <charset val="204"/>
          </rPr>
          <t xml:space="preserve">
1. Иван Куриленко
2. Валерий Батурин
3. Евгений Лямкин
4. Виктор Старостин
5. Руслан Пашков
6. Андрей Набока</t>
        </r>
      </text>
    </comment>
    <comment ref="C22" authorId="0" shapeId="0" xr:uid="{F4072305-3D06-40A6-9782-E6DC01DD8992}">
      <text>
        <r>
          <rPr>
            <b/>
            <sz val="9"/>
            <color indexed="81"/>
            <rFont val="Tahoma"/>
            <family val="2"/>
            <charset val="204"/>
          </rPr>
          <t>Юлия Черникина:</t>
        </r>
        <r>
          <rPr>
            <sz val="9"/>
            <color indexed="81"/>
            <rFont val="Tahoma"/>
            <family val="2"/>
            <charset val="204"/>
          </rPr>
          <t xml:space="preserve">
Разработка - 1; актуализация - 9</t>
        </r>
      </text>
    </comment>
    <comment ref="B23" authorId="0" shapeId="0" xr:uid="{B35688B2-C746-42A5-B5B5-B37BDE40F1E0}">
      <text>
        <r>
          <rPr>
            <b/>
            <sz val="9"/>
            <color indexed="81"/>
            <rFont val="Tahoma"/>
            <family val="2"/>
            <charset val="204"/>
          </rPr>
          <t>Юлия Черникина:</t>
        </r>
        <r>
          <rPr>
            <sz val="9"/>
            <color indexed="81"/>
            <rFont val="Tahoma"/>
            <family val="2"/>
            <charset val="204"/>
          </rPr>
          <t xml:space="preserve">
1. Васютин (???)
2. Васютина (???)
3. Ершов</t>
        </r>
      </text>
    </comment>
    <comment ref="C23" authorId="0" shapeId="0" xr:uid="{1D465E0E-A733-4564-A4FA-ADD8D5916D9E}">
      <text>
        <r>
          <rPr>
            <b/>
            <sz val="9"/>
            <color indexed="81"/>
            <rFont val="Tahoma"/>
            <family val="2"/>
            <charset val="204"/>
          </rPr>
          <t>Юлия Черникина:</t>
        </r>
        <r>
          <rPr>
            <sz val="9"/>
            <color indexed="81"/>
            <rFont val="Tahoma"/>
            <family val="2"/>
            <charset val="204"/>
          </rPr>
          <t xml:space="preserve">
Экспертиза (отдадут до 11.09.)</t>
        </r>
      </text>
    </comment>
    <comment ref="A24" authorId="0" shapeId="0" xr:uid="{90DB39EE-AC1B-4DA9-993C-4177555456D6}">
      <text>
        <r>
          <rPr>
            <b/>
            <sz val="9"/>
            <color indexed="81"/>
            <rFont val="Tahoma"/>
            <charset val="1"/>
          </rPr>
          <t>Юлия Черникина:</t>
        </r>
        <r>
          <rPr>
            <sz val="9"/>
            <color indexed="81"/>
            <rFont val="Tahoma"/>
            <charset val="1"/>
          </rPr>
          <t xml:space="preserve">
На подписи у нас</t>
        </r>
      </text>
    </comment>
    <comment ref="B24" authorId="0" shapeId="0" xr:uid="{2779839A-9193-407E-98D5-ABA19DFC05E2}">
      <text>
        <r>
          <rPr>
            <b/>
            <sz val="9"/>
            <color indexed="81"/>
            <rFont val="Tahoma"/>
            <family val="2"/>
            <charset val="204"/>
          </rPr>
          <t>Юлия Черникина:</t>
        </r>
        <r>
          <rPr>
            <sz val="9"/>
            <color indexed="81"/>
            <rFont val="Tahoma"/>
            <family val="2"/>
            <charset val="204"/>
          </rPr>
          <t xml:space="preserve">
1. Куриленко</t>
        </r>
      </text>
    </comment>
    <comment ref="C24" authorId="0" shapeId="0" xr:uid="{68F62BF3-C0F3-4E81-B595-606CE391FBBC}">
      <text>
        <r>
          <rPr>
            <b/>
            <sz val="9"/>
            <color indexed="81"/>
            <rFont val="Tahoma"/>
            <family val="2"/>
            <charset val="204"/>
          </rPr>
          <t>Юлия Черникина:</t>
        </r>
        <r>
          <rPr>
            <sz val="9"/>
            <color indexed="81"/>
            <rFont val="Tahoma"/>
            <family val="2"/>
            <charset val="204"/>
          </rPr>
          <t xml:space="preserve">
Экспертиза
</t>
        </r>
      </text>
    </comment>
    <comment ref="B25" authorId="0" shapeId="0" xr:uid="{6EFB048D-1439-4639-ADA6-B7CC97156567}">
      <text>
        <r>
          <rPr>
            <b/>
            <sz val="9"/>
            <color indexed="81"/>
            <rFont val="Tahoma"/>
            <family val="2"/>
            <charset val="204"/>
          </rPr>
          <t>Юлия Черникина:</t>
        </r>
        <r>
          <rPr>
            <sz val="9"/>
            <color indexed="81"/>
            <rFont val="Tahoma"/>
            <family val="2"/>
            <charset val="204"/>
          </rPr>
          <t xml:space="preserve">
Ксения Вандиловская
</t>
        </r>
      </text>
    </comment>
    <comment ref="C25" authorId="0" shapeId="0" xr:uid="{BDE98CFF-84AE-4016-BB65-5BD4391BE1C5}">
      <text>
        <r>
          <rPr>
            <b/>
            <sz val="9"/>
            <color indexed="81"/>
            <rFont val="Tahoma"/>
            <family val="2"/>
            <charset val="204"/>
          </rPr>
          <t>Юлия Черникина:</t>
        </r>
        <r>
          <rPr>
            <sz val="9"/>
            <color indexed="81"/>
            <rFont val="Tahoma"/>
            <family val="2"/>
            <charset val="204"/>
          </rPr>
          <t xml:space="preserve">
2 отдали - выберем одну для актуализации, 2 - экспертиза (Вандиловская) - отдадут до 11.09.</t>
        </r>
      </text>
    </comment>
    <comment ref="A26" authorId="0" shapeId="0" xr:uid="{05A0A4D7-1B09-49C6-8DBA-A5387D932C85}">
      <text>
        <r>
          <rPr>
            <b/>
            <sz val="9"/>
            <color indexed="81"/>
            <rFont val="Tahoma"/>
            <charset val="1"/>
          </rPr>
          <t>Юлия Черникина:</t>
        </r>
        <r>
          <rPr>
            <sz val="9"/>
            <color indexed="81"/>
            <rFont val="Tahoma"/>
            <charset val="1"/>
          </rPr>
          <t xml:space="preserve">
До 23.09. должен быть подписан</t>
        </r>
      </text>
    </comment>
    <comment ref="B26" authorId="0" shapeId="0" xr:uid="{0B969A01-079F-471C-9EDA-E85CBAA1CB42}">
      <text>
        <r>
          <rPr>
            <b/>
            <sz val="9"/>
            <color indexed="81"/>
            <rFont val="Tahoma"/>
            <family val="2"/>
            <charset val="204"/>
          </rPr>
          <t>Юлия Черникина:</t>
        </r>
        <r>
          <rPr>
            <sz val="9"/>
            <color indexed="81"/>
            <rFont val="Tahoma"/>
            <family val="2"/>
            <charset val="204"/>
          </rPr>
          <t xml:space="preserve">
Игорь Зилгалл</t>
        </r>
      </text>
    </comment>
    <comment ref="C26" authorId="0" shapeId="0" xr:uid="{774034D8-FA25-4A3F-8C14-4A7F89C4C6C7}">
      <text>
        <r>
          <rPr>
            <b/>
            <sz val="9"/>
            <color indexed="81"/>
            <rFont val="Tahoma"/>
            <family val="2"/>
            <charset val="204"/>
          </rPr>
          <t>Юлия Черникина:</t>
        </r>
        <r>
          <rPr>
            <sz val="9"/>
            <color indexed="81"/>
            <rFont val="Tahoma"/>
            <family val="2"/>
            <charset val="204"/>
          </rPr>
          <t xml:space="preserve">
Актуализация. Строгое согласование</t>
        </r>
      </text>
    </comment>
    <comment ref="B27" authorId="0" shapeId="0" xr:uid="{2788CADE-DE40-4DA4-AA43-BA376231FED4}">
      <text>
        <r>
          <rPr>
            <b/>
            <sz val="9"/>
            <color indexed="81"/>
            <rFont val="Tahoma"/>
            <family val="2"/>
            <charset val="204"/>
          </rPr>
          <t>Юлия Черникина:</t>
        </r>
        <r>
          <rPr>
            <sz val="9"/>
            <color indexed="81"/>
            <rFont val="Tahoma"/>
            <family val="2"/>
            <charset val="204"/>
          </rPr>
          <t xml:space="preserve">
Николай Лопатин (???)</t>
        </r>
      </text>
    </comment>
    <comment ref="C27" authorId="0" shapeId="0" xr:uid="{85F1451F-C5CE-4A5E-A81F-E799D87BF6DA}">
      <text>
        <r>
          <rPr>
            <b/>
            <sz val="9"/>
            <color indexed="81"/>
            <rFont val="Tahoma"/>
            <family val="2"/>
            <charset val="204"/>
          </rPr>
          <t>Юлия Черникина:</t>
        </r>
        <r>
          <rPr>
            <sz val="9"/>
            <color indexed="81"/>
            <rFont val="Tahoma"/>
            <family val="2"/>
            <charset val="204"/>
          </rPr>
          <t xml:space="preserve">
1 - актуализация (Лопатин)</t>
        </r>
      </text>
    </comment>
    <comment ref="B29" authorId="0" shapeId="0" xr:uid="{3E0C4674-1532-4E5C-AF8B-F8847635BEC4}">
      <text>
        <r>
          <rPr>
            <b/>
            <sz val="9"/>
            <color indexed="81"/>
            <rFont val="Tahoma"/>
            <family val="2"/>
            <charset val="204"/>
          </rPr>
          <t>Юлия Черникина:</t>
        </r>
        <r>
          <rPr>
            <sz val="9"/>
            <color indexed="81"/>
            <rFont val="Tahoma"/>
            <family val="2"/>
            <charset val="204"/>
          </rPr>
          <t xml:space="preserve">
Александр Демиденко</t>
        </r>
      </text>
    </comment>
    <comment ref="C29" authorId="0" shapeId="0" xr:uid="{3CF8AB2C-60BD-467E-A9EA-3B58B1A215E7}">
      <text>
        <r>
          <rPr>
            <b/>
            <sz val="9"/>
            <color indexed="81"/>
            <rFont val="Tahoma"/>
            <family val="2"/>
            <charset val="204"/>
          </rPr>
          <t>Юлия Черникина:</t>
        </r>
        <r>
          <rPr>
            <sz val="9"/>
            <color indexed="81"/>
            <rFont val="Tahoma"/>
            <family val="2"/>
            <charset val="204"/>
          </rPr>
          <t xml:space="preserve">
Экспертиза</t>
        </r>
      </text>
    </comment>
    <comment ref="B30" authorId="0" shapeId="0" xr:uid="{58B9285B-E2E2-4883-898E-8726C60AD30D}">
      <text>
        <r>
          <rPr>
            <b/>
            <sz val="9"/>
            <color indexed="81"/>
            <rFont val="Tahoma"/>
            <family val="2"/>
            <charset val="204"/>
          </rPr>
          <t>Юлия Черникина:</t>
        </r>
        <r>
          <rPr>
            <sz val="9"/>
            <color indexed="81"/>
            <rFont val="Tahoma"/>
            <family val="2"/>
            <charset val="204"/>
          </rPr>
          <t xml:space="preserve">
Саркис Шмавонян</t>
        </r>
      </text>
    </comment>
    <comment ref="C30" authorId="0" shapeId="0" xr:uid="{23D3CF7F-CC95-47D6-848E-A0A55BFA0F4F}">
      <text>
        <r>
          <rPr>
            <b/>
            <sz val="9"/>
            <color indexed="81"/>
            <rFont val="Tahoma"/>
            <family val="2"/>
            <charset val="204"/>
          </rPr>
          <t>Юлия Черникина:</t>
        </r>
        <r>
          <rPr>
            <sz val="9"/>
            <color indexed="81"/>
            <rFont val="Tahoma"/>
            <family val="2"/>
            <charset val="204"/>
          </rPr>
          <t xml:space="preserve">
Актуализация. Строгое согласование</t>
        </r>
      </text>
    </comment>
    <comment ref="E32" authorId="0" shapeId="0" xr:uid="{74A411F3-7DBA-4B85-8D19-8425D7C95BD9}">
      <text>
        <r>
          <rPr>
            <b/>
            <sz val="9"/>
            <color indexed="81"/>
            <rFont val="Tahoma"/>
            <family val="2"/>
            <charset val="204"/>
          </rPr>
          <t>Юлия Черникина:</t>
        </r>
        <r>
          <rPr>
            <sz val="9"/>
            <color indexed="81"/>
            <rFont val="Tahoma"/>
            <family val="2"/>
            <charset val="204"/>
          </rPr>
          <t xml:space="preserve">
2 из 4 найдены</t>
        </r>
      </text>
    </comment>
    <comment ref="B37" authorId="0" shapeId="0" xr:uid="{96863E53-96A9-47BA-81E9-520BCA3E0D5F}">
      <text>
        <r>
          <rPr>
            <b/>
            <sz val="9"/>
            <color indexed="81"/>
            <rFont val="Tahoma"/>
            <family val="2"/>
            <charset val="204"/>
          </rPr>
          <t>Юлия Черникина:</t>
        </r>
        <r>
          <rPr>
            <sz val="9"/>
            <color indexed="81"/>
            <rFont val="Tahoma"/>
            <family val="2"/>
            <charset val="204"/>
          </rPr>
          <t xml:space="preserve">
1. Старостин
2. Набока
3. Зилгалл
4. Вандиловская</t>
        </r>
      </text>
    </comment>
    <comment ref="B40" authorId="0" shapeId="0" xr:uid="{897DB133-24B6-4511-B295-603910984DE2}">
      <text>
        <r>
          <rPr>
            <b/>
            <sz val="9"/>
            <color indexed="81"/>
            <rFont val="Tahoma"/>
            <family val="2"/>
            <charset val="204"/>
          </rPr>
          <t>Юлия Черникина:</t>
        </r>
        <r>
          <rPr>
            <sz val="9"/>
            <color indexed="81"/>
            <rFont val="Tahoma"/>
            <family val="2"/>
            <charset val="204"/>
          </rPr>
          <t xml:space="preserve">
Полина Станчук</t>
        </r>
      </text>
    </comment>
    <comment ref="C40" authorId="0" shapeId="0" xr:uid="{72C252C9-79A1-4D86-8AD4-8F73CF6DEA98}">
      <text>
        <r>
          <rPr>
            <b/>
            <sz val="9"/>
            <color indexed="81"/>
            <rFont val="Tahoma"/>
            <family val="2"/>
            <charset val="204"/>
          </rPr>
          <t>Юлия Черникина:</t>
        </r>
        <r>
          <rPr>
            <sz val="9"/>
            <color indexed="81"/>
            <rFont val="Tahoma"/>
            <family val="2"/>
            <charset val="204"/>
          </rPr>
          <t xml:space="preserve">
2 - Экспертиза</t>
        </r>
      </text>
    </comment>
    <comment ref="B41" authorId="0" shapeId="0" xr:uid="{84F9D726-CCF5-4BEC-84EA-E635875B244C}">
      <text>
        <r>
          <rPr>
            <b/>
            <sz val="9"/>
            <color indexed="81"/>
            <rFont val="Tahoma"/>
            <family val="2"/>
            <charset val="204"/>
          </rPr>
          <t>Юлия Черникина:</t>
        </r>
        <r>
          <rPr>
            <sz val="9"/>
            <color indexed="81"/>
            <rFont val="Tahoma"/>
            <family val="2"/>
            <charset val="204"/>
          </rPr>
          <t xml:space="preserve">
Николай Лопатин (???)</t>
        </r>
      </text>
    </comment>
    <comment ref="C41" authorId="0" shapeId="0" xr:uid="{216E7C88-0FFD-445A-A6E5-E01FDFBBE0C2}">
      <text>
        <r>
          <rPr>
            <b/>
            <sz val="9"/>
            <color indexed="81"/>
            <rFont val="Tahoma"/>
            <family val="2"/>
            <charset val="204"/>
          </rPr>
          <t>Юлия Черникина:</t>
        </r>
        <r>
          <rPr>
            <sz val="9"/>
            <color indexed="81"/>
            <rFont val="Tahoma"/>
            <family val="2"/>
            <charset val="204"/>
          </rPr>
          <t xml:space="preserve">
1 - экспертиза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Юлия Черникина</author>
  </authors>
  <commentList>
    <comment ref="B2" authorId="0" shapeId="0" xr:uid="{292260DA-C48E-4EF7-9032-2D88BA2383CF}">
      <text>
        <r>
          <rPr>
            <b/>
            <sz val="9"/>
            <color indexed="81"/>
            <rFont val="Tahoma"/>
            <family val="2"/>
            <charset val="204"/>
          </rPr>
          <t>Юлия Черникина:</t>
        </r>
        <r>
          <rPr>
            <sz val="9"/>
            <color indexed="81"/>
            <rFont val="Tahoma"/>
            <family val="2"/>
            <charset val="204"/>
          </rPr>
          <t xml:space="preserve">
1. Куриленко
2. Батурин
3. Лямкин
4. Пашков
5. Старостин
6. Набока</t>
        </r>
      </text>
    </comment>
    <comment ref="C2" authorId="0" shapeId="0" xr:uid="{DDBB0F19-7692-4AEA-9E24-4DF89BEFB153}">
      <text>
        <r>
          <rPr>
            <b/>
            <sz val="9"/>
            <color indexed="81"/>
            <rFont val="Tahoma"/>
            <family val="2"/>
            <charset val="204"/>
          </rPr>
          <t>Юлия Черникина:</t>
        </r>
        <r>
          <rPr>
            <sz val="9"/>
            <color indexed="81"/>
            <rFont val="Tahoma"/>
            <family val="2"/>
            <charset val="204"/>
          </rPr>
          <t xml:space="preserve">
1. Куриленко
2. Батурин
3. Лямкин
4. Пашков
5. Старостин
6. Набока
</t>
        </r>
      </text>
    </comment>
    <comment ref="E2" authorId="0" shapeId="0" xr:uid="{133605AD-1923-49CB-9D26-EDCF2481D096}">
      <text>
        <r>
          <rPr>
            <b/>
            <sz val="9"/>
            <color indexed="81"/>
            <rFont val="Tahoma"/>
            <family val="2"/>
            <charset val="204"/>
          </rPr>
          <t>Юлия Черникина:</t>
        </r>
        <r>
          <rPr>
            <sz val="9"/>
            <color indexed="81"/>
            <rFont val="Tahoma"/>
            <family val="2"/>
            <charset val="204"/>
          </rPr>
          <t xml:space="preserve">
1. Куриленко
2. Васютина
3. Васютин
4. Ершов
5. Вандиловская
6. Шмавонян
</t>
        </r>
      </text>
    </comment>
    <comment ref="D7" authorId="0" shapeId="0" xr:uid="{F3844134-41D5-4E7C-BF11-5F178CAC5AD5}">
      <text>
        <r>
          <rPr>
            <b/>
            <sz val="9"/>
            <color indexed="81"/>
            <rFont val="Tahoma"/>
            <family val="2"/>
            <charset val="204"/>
          </rPr>
          <t>Юлия Черникина:</t>
        </r>
        <r>
          <rPr>
            <sz val="9"/>
            <color indexed="81"/>
            <rFont val="Tahoma"/>
            <family val="2"/>
            <charset val="204"/>
          </rPr>
          <t xml:space="preserve">
тут может быть экономия за счет активностей</t>
        </r>
      </text>
    </comment>
    <comment ref="J7" authorId="0" shapeId="0" xr:uid="{4F680313-57A0-44A1-A989-C5213B620AFA}">
      <text>
        <r>
          <rPr>
            <b/>
            <sz val="9"/>
            <color indexed="81"/>
            <rFont val="Tahoma"/>
            <family val="2"/>
            <charset val="204"/>
          </rPr>
          <t>Юлия Черникина:</t>
        </r>
        <r>
          <rPr>
            <sz val="9"/>
            <color indexed="81"/>
            <rFont val="Tahoma"/>
            <family val="2"/>
            <charset val="204"/>
          </rPr>
          <t xml:space="preserve">
Может быть экономия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Дмитрий</author>
    <author>Юлия Черникина</author>
  </authors>
  <commentList>
    <comment ref="K1" authorId="0" shapeId="0" xr:uid="{601046FD-C788-4CBE-8EF6-AEEC357F7A3E}">
      <text>
        <r>
          <rPr>
            <b/>
            <sz val="9"/>
            <color indexed="81"/>
            <rFont val="Tahoma"/>
            <family val="2"/>
            <charset val="204"/>
          </rPr>
          <t xml:space="preserve">Полина: Часы прописаны из фактической нагрузки из учебного плана МФТИ, не из договора ГПХ.
В ГПХ меньше указано </t>
        </r>
      </text>
    </comment>
    <comment ref="K2" authorId="1" shapeId="0" xr:uid="{98FF7BC3-E185-4238-A205-4CDF741787A7}">
      <text>
        <r>
          <rPr>
            <b/>
            <sz val="9"/>
            <color indexed="81"/>
            <rFont val="Tahoma"/>
            <family val="2"/>
            <charset val="204"/>
          </rPr>
          <t>Юлия Черникина:</t>
        </r>
        <r>
          <rPr>
            <sz val="9"/>
            <color indexed="81"/>
            <rFont val="Tahoma"/>
            <family val="2"/>
            <charset val="204"/>
          </rPr>
          <t xml:space="preserve">
Актуальные цифры будут в конце сентября 2026 (на 2026-2027 г.)
</t>
        </r>
      </text>
    </comment>
    <comment ref="J7" authorId="1" shapeId="0" xr:uid="{1E7A74E9-D85F-43FE-9D52-C86AAB5F3C16}">
      <text>
        <r>
          <rPr>
            <b/>
            <sz val="9"/>
            <color indexed="81"/>
            <rFont val="Tahoma"/>
            <family val="2"/>
            <charset val="204"/>
          </rPr>
          <t>Юлия Черникина:</t>
        </r>
        <r>
          <rPr>
            <sz val="9"/>
            <color indexed="81"/>
            <rFont val="Tahoma"/>
            <family val="2"/>
            <charset val="204"/>
          </rPr>
          <t xml:space="preserve">
2 с неподходящим ОКЗ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Юлия Черникина</author>
  </authors>
  <commentList>
    <comment ref="C3" authorId="0" shapeId="0" xr:uid="{19B9E515-5109-4D97-8B20-49147D133B72}">
      <text>
        <r>
          <rPr>
            <b/>
            <sz val="9"/>
            <color indexed="81"/>
            <rFont val="Tahoma"/>
            <family val="2"/>
            <charset val="204"/>
          </rPr>
          <t>Юлия Черникина:</t>
        </r>
        <r>
          <rPr>
            <sz val="9"/>
            <color indexed="81"/>
            <rFont val="Tahoma"/>
            <family val="2"/>
            <charset val="204"/>
          </rPr>
          <t xml:space="preserve">
1 800 000 руб.</t>
        </r>
      </text>
    </comment>
  </commentList>
</comments>
</file>

<file path=xl/sharedStrings.xml><?xml version="1.0" encoding="utf-8"?>
<sst xmlns="http://schemas.openxmlformats.org/spreadsheetml/2006/main" count="420" uniqueCount="234">
  <si>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</si>
  <si>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</si>
  <si>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</si>
  <si>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</si>
  <si>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</si>
  <si>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</si>
  <si>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</si>
  <si>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</si>
  <si>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</si>
  <si>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</si>
  <si>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 xml:space="preserve">Один астрономический час стажировки одного ИТ-студента </t>
  </si>
  <si>
    <t xml:space="preserve">Сопровождение стажировки закрепленным наставником </t>
  </si>
  <si>
    <t>50 студентов</t>
  </si>
  <si>
    <t>Привлечение сотрудников ИТ-компании для преподавания в колледже ИТ-дисциплин</t>
  </si>
  <si>
    <t>Разработка и экспертиза ИТ-компаниями образовательных программ среднего профессионального образования по ИТ-специальностям (далее - СПО)</t>
  </si>
  <si>
    <t xml:space="preserve">Разработка одной образовательной программы </t>
  </si>
  <si>
    <t xml:space="preserve">Актуализация одной образовательной программы </t>
  </si>
  <si>
    <t xml:space="preserve">Экспертиза одной образовательной программы </t>
  </si>
  <si>
    <t>Разработка/актуализация и экспертиза рабочих программ ИТ-дисциплин для включения в образовательные программы СПО</t>
  </si>
  <si>
    <t xml:space="preserve">Разработка одной рабочей программы </t>
  </si>
  <si>
    <t xml:space="preserve">Актуализация одной рабочей программы </t>
  </si>
  <si>
    <t xml:space="preserve">Экспертиза одной рабочей программы </t>
  </si>
  <si>
    <t>Стажировка студентов, обучающихся по программам СПО по ИТ-специальностям с закреплением за каждым стажером наставника от ИТ- компании</t>
  </si>
  <si>
    <t>Один академический час преподавания сотрудника ИТ-компании</t>
  </si>
  <si>
    <t>Привлечение сотрудников ИТ-компании для преподавания в вузе курсов, модулей, дисциплин, связанных с ИТ (далее - ИТ -дисциплины)</t>
  </si>
  <si>
    <t>Разработка и экспертиза ИТ-компаниями образовательных программ высшего образования по ИТ-специальностям</t>
  </si>
  <si>
    <t>Актуализация одной образовательной программы</t>
  </si>
  <si>
    <t>Разработка/актуализация и экспертиза рабочих программ ИТ-дисциплин для включения в образовательные программы высшего образования</t>
  </si>
  <si>
    <t>Разработка одной рабочей программы</t>
  </si>
  <si>
    <t>Стажировка студентов, обучающихся по ИТ- специальностям с закреплением за каждым стажером наставника от ИТ-компании</t>
  </si>
  <si>
    <t>Проведение ИТ-компанией кружков и секций для школьников 7-11 классов на базе организаций общего образования по направлению информатика, программирование и роботехника, ИИ, ИБ</t>
  </si>
  <si>
    <t>Предоставление образовательного контента для школьников, студентов СПО и учителей на образовательных платформах по направлению информатика, программирование и роботехника, ИИ, ИБ</t>
  </si>
  <si>
    <t>Один месяц доступа одного школьника к образовательной платформе</t>
  </si>
  <si>
    <t>Один месяц доступа одного студента СПО к образовательной платформе</t>
  </si>
  <si>
    <t>Один месяц доступа одного учителя к образовательной платформе</t>
  </si>
  <si>
    <t>Медиана, тыс. руб.</t>
  </si>
  <si>
    <t xml:space="preserve">№ Вид участия </t>
  </si>
  <si>
    <t xml:space="preserve">Пояснения </t>
  </si>
  <si>
    <t>Месяцев на стажировку</t>
  </si>
  <si>
    <t>Рабочих дней</t>
  </si>
  <si>
    <t>Астрономических часов</t>
  </si>
  <si>
    <t>Всего за 2 мес. на 1 студента, часов</t>
  </si>
  <si>
    <t>100 студентов</t>
  </si>
  <si>
    <t>200 студентов</t>
  </si>
  <si>
    <t>Действующие преподаватели</t>
  </si>
  <si>
    <t>Иван Куриленко</t>
  </si>
  <si>
    <t>Евгений Лямкин</t>
  </si>
  <si>
    <t>Валерий Батурин</t>
  </si>
  <si>
    <t>Наименование организации</t>
  </si>
  <si>
    <t>МФТИ</t>
  </si>
  <si>
    <t>Сумма по медианному значению</t>
  </si>
  <si>
    <t xml:space="preserve">Комментарии </t>
  </si>
  <si>
    <t>Преподаватели</t>
  </si>
  <si>
    <t>Актуализация РПД/ООП</t>
  </si>
  <si>
    <t>Стажировка</t>
  </si>
  <si>
    <t xml:space="preserve">Целевой показатель </t>
  </si>
  <si>
    <t>МИРЭА</t>
  </si>
  <si>
    <t>ИТОГО</t>
  </si>
  <si>
    <t>Вклад, %</t>
  </si>
  <si>
    <t>Курс</t>
  </si>
  <si>
    <t xml:space="preserve">Современные архитектуры  крупных распределенных  программных комплексов и систем </t>
  </si>
  <si>
    <t>Наблюдаемость и мониторинг</t>
  </si>
  <si>
    <t>Программирование на GO от основ до микросервисов</t>
  </si>
  <si>
    <t>Количество ак. часов по договору с вузом</t>
  </si>
  <si>
    <t>Количество ак.ч. по договору с КП</t>
  </si>
  <si>
    <t>Виктор Старостин</t>
  </si>
  <si>
    <t>Оформление</t>
  </si>
  <si>
    <t>Бауманка</t>
  </si>
  <si>
    <t>РПД</t>
  </si>
  <si>
    <t>Стажировки</t>
  </si>
  <si>
    <t>Кафедра</t>
  </si>
  <si>
    <t>ТиПИ</t>
  </si>
  <si>
    <t xml:space="preserve">МФТИ </t>
  </si>
  <si>
    <t>Заложено в бюджете</t>
  </si>
  <si>
    <t>Вузовский трек</t>
  </si>
  <si>
    <t>Предоставление контента школьникам</t>
  </si>
  <si>
    <t>Предоставление контента педагогам</t>
  </si>
  <si>
    <t>как считать?</t>
  </si>
  <si>
    <t>ТОП ИТ/ТОП ИИ</t>
  </si>
  <si>
    <t xml:space="preserve">Факт оплаты </t>
  </si>
  <si>
    <t xml:space="preserve">Solution Architect в решении бизнес-задач								</t>
  </si>
  <si>
    <t>Техническая и научная коммуникация</t>
  </si>
  <si>
    <t>???</t>
  </si>
  <si>
    <t>%</t>
  </si>
  <si>
    <t>Сумма</t>
  </si>
  <si>
    <t>Дисциплина</t>
  </si>
  <si>
    <t>Вуз</t>
  </si>
  <si>
    <t xml:space="preserve">Семестр </t>
  </si>
  <si>
    <t>Авторы</t>
  </si>
  <si>
    <t>Фактическое преподавание</t>
  </si>
  <si>
    <t>Статус</t>
  </si>
  <si>
    <t>Уровень обучения</t>
  </si>
  <si>
    <t>Магистратура</t>
  </si>
  <si>
    <t>Обновление</t>
  </si>
  <si>
    <t>Разработка</t>
  </si>
  <si>
    <t>Суммы</t>
  </si>
  <si>
    <t>Бакалавриат</t>
  </si>
  <si>
    <t xml:space="preserve">
Теория и практика многопоточного программирования</t>
  </si>
  <si>
    <t>Неганов Алексей</t>
  </si>
  <si>
    <t xml:space="preserve">Старостин Виктор
Бочерова Елена 
Неганов Алексей </t>
  </si>
  <si>
    <t>Курс обучения</t>
  </si>
  <si>
    <t xml:space="preserve">Технологии разработки программного обеспечения </t>
  </si>
  <si>
    <t>Бочерова Елена
Руснак Александр</t>
  </si>
  <si>
    <t>Руснак Александр</t>
  </si>
  <si>
    <t xml:space="preserve">Архитектура CPU </t>
  </si>
  <si>
    <t xml:space="preserve">Костюшко Алексей </t>
  </si>
  <si>
    <t xml:space="preserve">Основы построения файловых систем </t>
  </si>
  <si>
    <t>Бочерова Елена
Батурин Валерий
Саари Полина</t>
  </si>
  <si>
    <t xml:space="preserve">Старостин Виктор
Бочерова Елена 
Неганов Алексей 
Батурин Валерий </t>
  </si>
  <si>
    <t>Распределенные системы</t>
  </si>
  <si>
    <t>Наименование ООП</t>
  </si>
  <si>
    <t xml:space="preserve">ООП ФПМИ: </t>
  </si>
  <si>
    <t>ООП ФРКТ:</t>
  </si>
  <si>
    <t xml:space="preserve">Дисциплина </t>
  </si>
  <si>
    <t>Количество</t>
  </si>
  <si>
    <t>ООП ФПМИ:</t>
  </si>
  <si>
    <t>03.04.01 – Прикладная математика и физика – 4 обучающихся</t>
  </si>
  <si>
    <t xml:space="preserve">03.04.01 – Прикладная математика и физика </t>
  </si>
  <si>
    <r>
      <rPr>
        <sz val="7"/>
        <color theme="1"/>
        <rFont val="Times New Roman"/>
        <family val="1"/>
        <charset val="204"/>
      </rPr>
      <t xml:space="preserve"> </t>
    </r>
    <r>
      <rPr>
        <sz val="11"/>
        <color theme="1"/>
        <rFont val="Times New Roman"/>
        <family val="1"/>
        <charset val="204"/>
      </rPr>
      <t xml:space="preserve">09.04.01 – Информатика и вычислительная техника </t>
    </r>
  </si>
  <si>
    <r>
      <rPr>
        <sz val="7"/>
        <color theme="1"/>
        <rFont val="Times New Roman"/>
        <family val="1"/>
        <charset val="204"/>
      </rPr>
      <t xml:space="preserve"> </t>
    </r>
    <r>
      <rPr>
        <sz val="11"/>
        <color theme="1"/>
        <rFont val="Times New Roman"/>
        <family val="1"/>
        <charset val="204"/>
      </rPr>
      <t>09.04.01 – Информатика и вычислительная техника – 5 обучающихся</t>
    </r>
  </si>
  <si>
    <t>Прикладная математика и физика – 3 обучающихся</t>
  </si>
  <si>
    <t>Прикладная математика и информатика – 3 обучающихся</t>
  </si>
  <si>
    <t>Прикладная математика и физика – 1 обучающийся</t>
  </si>
  <si>
    <t>Информатика и вычислительная техника – 4 обучающихся</t>
  </si>
  <si>
    <t>Не знаю сколько штук будет (наборс студентов будет в сентябре 2026). Одна программа точно будет</t>
  </si>
  <si>
    <t>Актуализация/экспертиза/разработка РПД</t>
  </si>
  <si>
    <t>Актуализация ООП</t>
  </si>
  <si>
    <t>ООП</t>
  </si>
  <si>
    <t>Практики с трудоустройством</t>
  </si>
  <si>
    <t>ФАКТ</t>
  </si>
  <si>
    <t>ПЛАН</t>
  </si>
  <si>
    <t>Кафедра МФТИ план</t>
  </si>
  <si>
    <t>Академ.программа план</t>
  </si>
  <si>
    <t>профицит/дефицит</t>
  </si>
  <si>
    <t>Наименование ОО</t>
  </si>
  <si>
    <t>ФИО наставника</t>
  </si>
  <si>
    <t>ФИО стажера</t>
  </si>
  <si>
    <t>Специальность</t>
  </si>
  <si>
    <t>Период стажировки</t>
  </si>
  <si>
    <t>Стоимость стажировки, руб.</t>
  </si>
  <si>
    <t>Продолжительность стажировки в 2026</t>
  </si>
  <si>
    <t>ИТОГО план</t>
  </si>
  <si>
    <t>Расчетный показатель (max)</t>
  </si>
  <si>
    <r>
      <t xml:space="preserve">Нагрузка </t>
    </r>
    <r>
      <rPr>
        <b/>
        <u/>
        <sz val="11"/>
        <color theme="1"/>
        <rFont val="Calibri"/>
        <family val="2"/>
        <charset val="204"/>
        <scheme val="minor"/>
      </rPr>
      <t>настаника</t>
    </r>
    <r>
      <rPr>
        <b/>
        <sz val="11"/>
        <color theme="1"/>
        <rFont val="Calibri"/>
        <family val="2"/>
        <charset val="204"/>
        <scheme val="minor"/>
      </rPr>
      <t>, часы в месяц</t>
    </r>
  </si>
  <si>
    <r>
      <t xml:space="preserve">Нагрузка </t>
    </r>
    <r>
      <rPr>
        <b/>
        <u/>
        <sz val="11"/>
        <color theme="1"/>
        <rFont val="Calibri"/>
        <family val="2"/>
        <charset val="204"/>
        <scheme val="minor"/>
      </rPr>
      <t>студента</t>
    </r>
    <r>
      <rPr>
        <b/>
        <sz val="11"/>
        <color theme="1"/>
        <rFont val="Calibri"/>
        <family val="2"/>
        <charset val="204"/>
        <scheme val="minor"/>
      </rPr>
      <t>, часы в месяц</t>
    </r>
  </si>
  <si>
    <t>Осень 2026</t>
  </si>
  <si>
    <t>Кафедра МФТИ факт</t>
  </si>
  <si>
    <t>Академ.программа факт</t>
  </si>
  <si>
    <t>ИТОГО факт</t>
  </si>
  <si>
    <t>Актуализация</t>
  </si>
  <si>
    <t xml:space="preserve">ФАКТ </t>
  </si>
  <si>
    <t>Примерный факт</t>
  </si>
  <si>
    <t xml:space="preserve">Томский политехнический университет </t>
  </si>
  <si>
    <t>Дисциплина для преподавания?</t>
  </si>
  <si>
    <t>ВУЗ</t>
  </si>
  <si>
    <t>Экспертиза ООП ТОП-ИТ (после модернизации)</t>
  </si>
  <si>
    <t>Экспертиза</t>
  </si>
  <si>
    <t>Сентябрь - декабрь 2026</t>
  </si>
  <si>
    <t>ТОП ИТ</t>
  </si>
  <si>
    <t>Запущена</t>
  </si>
  <si>
    <t>да</t>
  </si>
  <si>
    <t>нет</t>
  </si>
  <si>
    <t>Сумма зачета</t>
  </si>
  <si>
    <t>Остаток бюджета</t>
  </si>
  <si>
    <t>Бюджет реализации Программы 3%</t>
  </si>
  <si>
    <t>Структура факт, %</t>
  </si>
  <si>
    <t>Структура план, %</t>
  </si>
  <si>
    <t>Сумма оплаты вузом</t>
  </si>
  <si>
    <t>Количество ак.ч. общее</t>
  </si>
  <si>
    <t>Количество ак.ч.: лекции и вебинары</t>
  </si>
  <si>
    <t>Оплата всего: вуз +КП</t>
  </si>
  <si>
    <t>15.12.2026</t>
  </si>
  <si>
    <t>Основы построения файловых
систем</t>
  </si>
  <si>
    <t>Кафедра МФТИ</t>
  </si>
  <si>
    <t>Академ. программа</t>
  </si>
  <si>
    <t>Можем подтвердить сейчас</t>
  </si>
  <si>
    <t>зеленый</t>
  </si>
  <si>
    <t>желтый</t>
  </si>
  <si>
    <t>красный</t>
  </si>
  <si>
    <t>Семестр</t>
  </si>
  <si>
    <t>Весна 2026</t>
  </si>
  <si>
    <t>Трудойстройство в вузе и КП</t>
  </si>
  <si>
    <t>В процессе трудоустройства</t>
  </si>
  <si>
    <t>Всего преподавателей</t>
  </si>
  <si>
    <t>Трудоустроенные преподаватели (вуз + КП)</t>
  </si>
  <si>
    <t>Светофор</t>
  </si>
  <si>
    <t>Программа</t>
  </si>
  <si>
    <t>МЦ</t>
  </si>
  <si>
    <t>Исполнители</t>
  </si>
  <si>
    <t>Текущий статус</t>
  </si>
  <si>
    <t>Суммы по медиане</t>
  </si>
  <si>
    <t>Экспертиза/актуализация/разработка РПД</t>
  </si>
  <si>
    <t>Экспертиза/актуализация/разработка ООП</t>
  </si>
  <si>
    <t>Кандидат найден</t>
  </si>
  <si>
    <t>Поиск кандидата</t>
  </si>
  <si>
    <t>Завершена</t>
  </si>
  <si>
    <t>ИТОГО:</t>
  </si>
  <si>
    <t>Практики</t>
  </si>
  <si>
    <t>Всего</t>
  </si>
  <si>
    <t>Низкая вероятность подтвердить</t>
  </si>
  <si>
    <t>Риски и нерешенные вопросы</t>
  </si>
  <si>
    <t>ТОП ИТ (2):</t>
  </si>
  <si>
    <t>Форма</t>
  </si>
  <si>
    <t>МЦ 3%</t>
  </si>
  <si>
    <t>В работе</t>
  </si>
  <si>
    <t>Реализовано нами</t>
  </si>
  <si>
    <t>Утверждено вузом</t>
  </si>
  <si>
    <t>Можем подтвердить + есть вопросы по подтверждению</t>
  </si>
  <si>
    <t>Вид</t>
  </si>
  <si>
    <t>15-21</t>
  </si>
  <si>
    <t>10-15</t>
  </si>
  <si>
    <t>Планировали изначально</t>
  </si>
  <si>
    <t>Факт</t>
  </si>
  <si>
    <t>ИТОГО накопленным итогом</t>
  </si>
  <si>
    <t>В работе и ждем от вуза</t>
  </si>
  <si>
    <t>Ждем от вуза</t>
  </si>
  <si>
    <t>Новые преподы</t>
  </si>
  <si>
    <t>4</t>
  </si>
  <si>
    <t>Расчетный показатель (min)</t>
  </si>
  <si>
    <t>Расчетный показатель (opt)</t>
  </si>
  <si>
    <t>Оплата по ГПХ</t>
  </si>
  <si>
    <t>Доплата по ГПХ</t>
  </si>
  <si>
    <t>Бюджет</t>
  </si>
  <si>
    <t>Опорные вузы по МЦ 3% (7):</t>
  </si>
  <si>
    <t>м</t>
  </si>
  <si>
    <t>МИФИ</t>
  </si>
  <si>
    <t>Иванов</t>
  </si>
  <si>
    <t>Петров</t>
  </si>
  <si>
    <t>Сидоров</t>
  </si>
  <si>
    <t xml:space="preserve"> иванов иван</t>
  </si>
  <si>
    <t>1 курс</t>
  </si>
  <si>
    <t>с 04.01.26 по 03.02.27</t>
  </si>
  <si>
    <t>ФМТИ</t>
  </si>
  <si>
    <t xml:space="preserve">МФТИ - Современные архитектуры  крупных распределенных  программных комплексов и систем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</si>
</sst>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#,##0\ &quot;₽&quot;;\-#,##0\ &quot;₽&quot;"/>
    <numFmt numFmtId="42" formatCode="_-* #,##0\ &quot;₽&quot;_-;\-* #,##0\ &quot;₽&quot;_-;_-* &quot;-&quot;\ &quot;₽&quot;_-;_-@_-"/>
    <numFmt numFmtId="44" formatCode="_-* #,##0.00\ &quot;₽&quot;_-;\-* #,##0.00\ &quot;₽&quot;_-;_-* &quot;-&quot;??\ &quot;₽&quot;_-;_-@_-"/>
    <numFmt numFmtId="164" formatCode="#,##0.00\ &quot;₽&quot;"/>
    <numFmt numFmtId="165" formatCode="#,##0\ &quot;₽&quot;"/>
    <numFmt numFmtId="166" formatCode="_-* #,##0\ &quot;₽&quot;_-;\-* #,##0\ &quot;₽&quot;_-;_-* &quot;-&quot;??\ &quot;₽&quot;_-;_-@_-"/>
    <numFmt numFmtId="167" formatCode="#,##0\ _₽"/>
  </numFmts>
  <fonts count="2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i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i/>
      <sz val="11"/>
      <color rgb="FFFF0000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7"/>
      <color theme="1"/>
      <name val="Times New Roman"/>
      <family val="1"/>
      <charset val="204"/>
    </font>
    <font>
      <b/>
      <i/>
      <sz val="11"/>
      <color theme="1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i/>
      <sz val="11"/>
      <name val="Calibri"/>
      <family val="2"/>
      <charset val="204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20"/>
      <color theme="1"/>
      <name val="Calibri"/>
      <family val="2"/>
      <charset val="204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gray0625">
        <bgColor theme="7" tint="0.79998168889431442"/>
      </patternFill>
    </fill>
    <fill>
      <patternFill patternType="gray0625">
        <bgColor theme="9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7C80"/>
        <bgColor indexed="64"/>
      </patternFill>
    </fill>
    <fill>
      <patternFill patternType="gray0625">
        <bgColor theme="5" tint="0.79998168889431442"/>
      </patternFill>
    </fill>
    <fill>
      <patternFill patternType="solid">
        <fgColor theme="0"/>
        <bgColor indexed="64"/>
      </patternFill>
    </fill>
    <fill>
      <patternFill patternType="gray0625">
        <bgColor theme="6" tint="0.7999816888943144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37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165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4" fontId="1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3" borderId="0" xfId="0" applyFill="1"/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0" fillId="0" borderId="1" xfId="0" applyBorder="1" applyAlignment="1">
      <alignment vertical="center" wrapText="1"/>
    </xf>
    <xf numFmtId="165" fontId="0" fillId="0" borderId="1" xfId="0" applyNumberForma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5" fontId="1" fillId="0" borderId="0" xfId="0" applyNumberFormat="1" applyFont="1" applyAlignment="1">
      <alignment horizontal="center"/>
    </xf>
    <xf numFmtId="0" fontId="1" fillId="0" borderId="1" xfId="0" applyFont="1" applyBorder="1"/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166" fontId="9" fillId="3" borderId="0" xfId="2" applyNumberFormat="1" applyFont="1" applyFill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 wrapText="1"/>
    </xf>
    <xf numFmtId="0" fontId="0" fillId="2" borderId="0" xfId="0" applyFill="1"/>
    <xf numFmtId="166" fontId="9" fillId="2" borderId="0" xfId="2" applyNumberFormat="1" applyFont="1" applyFill="1" applyAlignment="1">
      <alignment horizontal="center"/>
    </xf>
    <xf numFmtId="165" fontId="7" fillId="0" borderId="0" xfId="0" applyNumberFormat="1" applyFont="1"/>
    <xf numFmtId="165" fontId="0" fillId="0" borderId="1" xfId="2" applyNumberFormat="1" applyFont="1" applyBorder="1" applyAlignment="1">
      <alignment horizontal="center" vertical="center"/>
    </xf>
    <xf numFmtId="165" fontId="0" fillId="0" borderId="1" xfId="2" applyNumberFormat="1" applyFont="1" applyFill="1" applyBorder="1" applyAlignment="1">
      <alignment horizontal="center" vertical="center"/>
    </xf>
    <xf numFmtId="165" fontId="9" fillId="0" borderId="1" xfId="2" applyNumberFormat="1" applyFont="1" applyBorder="1" applyAlignment="1">
      <alignment horizontal="center" vertical="center"/>
    </xf>
    <xf numFmtId="165" fontId="8" fillId="0" borderId="1" xfId="2" applyNumberFormat="1" applyFont="1" applyBorder="1" applyAlignment="1">
      <alignment horizontal="center" vertical="center"/>
    </xf>
    <xf numFmtId="9" fontId="6" fillId="0" borderId="0" xfId="1" applyFont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42" fontId="2" fillId="0" borderId="1" xfId="1" applyNumberFormat="1" applyFont="1" applyBorder="1" applyAlignment="1">
      <alignment horizontal="center" vertical="center"/>
    </xf>
    <xf numFmtId="165" fontId="1" fillId="0" borderId="1" xfId="1" applyNumberFormat="1" applyFont="1" applyBorder="1" applyAlignment="1">
      <alignment horizontal="right" vertical="center"/>
    </xf>
    <xf numFmtId="165" fontId="2" fillId="0" borderId="1" xfId="1" applyNumberFormat="1" applyFont="1" applyBorder="1" applyAlignment="1">
      <alignment horizontal="right" vertical="center"/>
    </xf>
    <xf numFmtId="9" fontId="12" fillId="0" borderId="0" xfId="1" applyFont="1" applyAlignment="1">
      <alignment horizontal="center"/>
    </xf>
    <xf numFmtId="0" fontId="1" fillId="0" borderId="0" xfId="0" applyFont="1" applyAlignment="1">
      <alignment horizontal="center"/>
    </xf>
    <xf numFmtId="165" fontId="0" fillId="3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5" fontId="0" fillId="0" borderId="0" xfId="0" applyNumberFormat="1"/>
    <xf numFmtId="0" fontId="0" fillId="3" borderId="1" xfId="0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0" fillId="0" borderId="1" xfId="1" applyFont="1" applyBorder="1" applyAlignment="1">
      <alignment horizontal="center" vertical="center"/>
    </xf>
    <xf numFmtId="9" fontId="1" fillId="0" borderId="1" xfId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6" fontId="1" fillId="0" borderId="0" xfId="1" applyNumberFormat="1" applyFont="1" applyAlignment="1">
      <alignment horizontal="center" vertical="center"/>
    </xf>
    <xf numFmtId="0" fontId="1" fillId="0" borderId="0" xfId="1" applyNumberFormat="1" applyFont="1" applyAlignment="1">
      <alignment horizontal="right"/>
    </xf>
    <xf numFmtId="0" fontId="0" fillId="5" borderId="1" xfId="0" applyFill="1" applyBorder="1"/>
    <xf numFmtId="165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/>
    <xf numFmtId="165" fontId="0" fillId="7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left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left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0" fillId="9" borderId="1" xfId="0" applyFill="1" applyBorder="1" applyAlignment="1">
      <alignment horizontal="center" wrapText="1"/>
    </xf>
    <xf numFmtId="0" fontId="0" fillId="9" borderId="1" xfId="0" applyFill="1" applyBorder="1" applyAlignment="1">
      <alignment horizontal="center"/>
    </xf>
    <xf numFmtId="0" fontId="13" fillId="0" borderId="1" xfId="0" applyFont="1" applyBorder="1" applyAlignment="1">
      <alignment horizontal="left" vertical="center" wrapText="1"/>
    </xf>
    <xf numFmtId="0" fontId="14" fillId="8" borderId="1" xfId="0" applyFont="1" applyFill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0" fillId="9" borderId="1" xfId="0" applyFill="1" applyBorder="1" applyAlignment="1">
      <alignment horizontal="center" vertical="center"/>
    </xf>
    <xf numFmtId="165" fontId="0" fillId="8" borderId="0" xfId="0" applyNumberFormat="1" applyFill="1"/>
    <xf numFmtId="0" fontId="0" fillId="8" borderId="0" xfId="0" applyFill="1"/>
    <xf numFmtId="0" fontId="0" fillId="5" borderId="1" xfId="0" applyFill="1" applyBorder="1" applyAlignment="1">
      <alignment horizontal="center" vertical="center"/>
    </xf>
    <xf numFmtId="165" fontId="0" fillId="10" borderId="1" xfId="2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5" fontId="0" fillId="10" borderId="1" xfId="0" applyNumberFormat="1" applyFill="1" applyBorder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165" fontId="6" fillId="0" borderId="0" xfId="1" applyNumberFormat="1" applyFont="1" applyAlignment="1">
      <alignment horizontal="center"/>
    </xf>
    <xf numFmtId="42" fontId="6" fillId="0" borderId="0" xfId="1" applyNumberFormat="1" applyFont="1" applyAlignment="1"/>
    <xf numFmtId="165" fontId="10" fillId="0" borderId="0" xfId="0" applyNumberFormat="1" applyFont="1"/>
    <xf numFmtId="0" fontId="0" fillId="5" borderId="1" xfId="0" applyFill="1" applyBorder="1" applyAlignment="1">
      <alignment horizontal="left" vertical="center"/>
    </xf>
    <xf numFmtId="165" fontId="1" fillId="0" borderId="0" xfId="1" applyNumberFormat="1" applyFont="1" applyBorder="1" applyAlignment="1">
      <alignment horizontal="right" vertical="center"/>
    </xf>
    <xf numFmtId="165" fontId="0" fillId="10" borderId="1" xfId="0" applyNumberForma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165" fontId="0" fillId="3" borderId="1" xfId="0" applyNumberForma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0" fontId="0" fillId="3" borderId="1" xfId="0" applyFill="1" applyBorder="1" applyAlignment="1">
      <alignment vertical="center"/>
    </xf>
    <xf numFmtId="165" fontId="9" fillId="0" borderId="1" xfId="0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66" fontId="9" fillId="0" borderId="0" xfId="2" applyNumberFormat="1" applyFont="1" applyFill="1" applyAlignment="1">
      <alignment horizontal="center"/>
    </xf>
    <xf numFmtId="9" fontId="6" fillId="3" borderId="0" xfId="1" applyFont="1" applyFill="1" applyAlignment="1">
      <alignment horizontal="center"/>
    </xf>
    <xf numFmtId="9" fontId="12" fillId="3" borderId="4" xfId="0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0" fillId="6" borderId="0" xfId="0" applyFill="1"/>
    <xf numFmtId="166" fontId="9" fillId="6" borderId="0" xfId="2" applyNumberFormat="1" applyFont="1" applyFill="1" applyAlignment="1">
      <alignment horizontal="center"/>
    </xf>
    <xf numFmtId="165" fontId="1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165" fontId="0" fillId="3" borderId="1" xfId="0" applyNumberForma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6" borderId="1" xfId="0" applyFill="1" applyBorder="1"/>
    <xf numFmtId="0" fontId="0" fillId="6" borderId="1" xfId="0" applyFill="1" applyBorder="1" applyAlignment="1">
      <alignment vertical="center" wrapText="1"/>
    </xf>
    <xf numFmtId="166" fontId="0" fillId="0" borderId="0" xfId="0" applyNumberFormat="1"/>
    <xf numFmtId="0" fontId="0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left" vertical="center"/>
    </xf>
    <xf numFmtId="165" fontId="0" fillId="6" borderId="1" xfId="0" applyNumberFormat="1" applyFill="1" applyBorder="1" applyAlignment="1">
      <alignment horizontal="center" vertical="center"/>
    </xf>
    <xf numFmtId="166" fontId="0" fillId="3" borderId="1" xfId="2" applyNumberFormat="1" applyFont="1" applyFill="1" applyBorder="1"/>
    <xf numFmtId="0" fontId="0" fillId="3" borderId="1" xfId="0" applyFill="1" applyBorder="1" applyAlignment="1">
      <alignment wrapText="1"/>
    </xf>
    <xf numFmtId="166" fontId="1" fillId="0" borderId="0" xfId="0" applyNumberFormat="1" applyFont="1"/>
    <xf numFmtId="165" fontId="0" fillId="10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4" fillId="9" borderId="1" xfId="0" applyFont="1" applyFill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164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164" fontId="0" fillId="0" borderId="1" xfId="0" applyNumberFormat="1" applyBorder="1" applyAlignment="1">
      <alignment vertical="center"/>
    </xf>
    <xf numFmtId="164" fontId="0" fillId="0" borderId="1" xfId="0" applyNumberFormat="1" applyBorder="1"/>
    <xf numFmtId="1" fontId="0" fillId="1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1" fillId="10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165" fontId="7" fillId="0" borderId="1" xfId="0" applyNumberFormat="1" applyFont="1" applyBorder="1"/>
    <xf numFmtId="165" fontId="0" fillId="0" borderId="1" xfId="0" applyNumberFormat="1" applyBorder="1" applyAlignment="1">
      <alignment vertical="center"/>
    </xf>
    <xf numFmtId="165" fontId="8" fillId="6" borderId="1" xfId="0" applyNumberFormat="1" applyFont="1" applyFill="1" applyBorder="1"/>
    <xf numFmtId="0" fontId="0" fillId="0" borderId="0" xfId="0" applyFont="1" applyAlignment="1">
      <alignment horizontal="left" vertical="center"/>
    </xf>
    <xf numFmtId="165" fontId="0" fillId="0" borderId="0" xfId="0" applyNumberFormat="1" applyFont="1" applyAlignment="1">
      <alignment horizontal="left" vertical="center"/>
    </xf>
    <xf numFmtId="1" fontId="0" fillId="13" borderId="1" xfId="0" applyNumberForma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9" fontId="0" fillId="10" borderId="1" xfId="1" applyFont="1" applyFill="1" applyBorder="1" applyAlignment="1">
      <alignment horizontal="center"/>
    </xf>
    <xf numFmtId="0" fontId="0" fillId="10" borderId="1" xfId="0" applyFill="1" applyBorder="1" applyAlignment="1">
      <alignment vertical="center"/>
    </xf>
    <xf numFmtId="165" fontId="9" fillId="3" borderId="1" xfId="0" applyNumberFormat="1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/>
    </xf>
    <xf numFmtId="1" fontId="0" fillId="5" borderId="1" xfId="0" applyNumberFormat="1" applyFill="1" applyBorder="1"/>
    <xf numFmtId="1" fontId="1" fillId="5" borderId="1" xfId="0" applyNumberFormat="1" applyFont="1" applyFill="1" applyBorder="1" applyAlignment="1">
      <alignment vertical="center"/>
    </xf>
    <xf numFmtId="1" fontId="1" fillId="5" borderId="1" xfId="0" applyNumberFormat="1" applyFont="1" applyFill="1" applyBorder="1"/>
    <xf numFmtId="0" fontId="0" fillId="14" borderId="1" xfId="0" applyFill="1" applyBorder="1" applyAlignment="1">
      <alignment horizontal="left" vertical="center"/>
    </xf>
    <xf numFmtId="0" fontId="0" fillId="6" borderId="3" xfId="0" applyFill="1" applyBorder="1" applyAlignment="1">
      <alignment horizontal="left" vertical="center"/>
    </xf>
    <xf numFmtId="1" fontId="0" fillId="6" borderId="3" xfId="0" applyNumberFormat="1" applyFill="1" applyBorder="1" applyAlignment="1">
      <alignment horizontal="center"/>
    </xf>
    <xf numFmtId="1" fontId="0" fillId="5" borderId="3" xfId="0" applyNumberFormat="1" applyFill="1" applyBorder="1"/>
    <xf numFmtId="1" fontId="1" fillId="3" borderId="6" xfId="0" applyNumberFormat="1" applyFont="1" applyFill="1" applyBorder="1" applyAlignment="1">
      <alignment horizontal="center"/>
    </xf>
    <xf numFmtId="1" fontId="1" fillId="10" borderId="6" xfId="0" applyNumberFormat="1" applyFont="1" applyFill="1" applyBorder="1" applyAlignment="1">
      <alignment horizontal="center"/>
    </xf>
    <xf numFmtId="1" fontId="1" fillId="3" borderId="10" xfId="0" applyNumberFormat="1" applyFont="1" applyFill="1" applyBorder="1" applyAlignment="1">
      <alignment horizontal="center"/>
    </xf>
    <xf numFmtId="1" fontId="1" fillId="5" borderId="10" xfId="0" applyNumberFormat="1" applyFont="1" applyFill="1" applyBorder="1"/>
    <xf numFmtId="165" fontId="0" fillId="10" borderId="0" xfId="0" applyNumberFormat="1" applyFill="1"/>
    <xf numFmtId="166" fontId="0" fillId="15" borderId="0" xfId="0" applyNumberFormat="1" applyFill="1" applyAlignment="1">
      <alignment horizontal="center"/>
    </xf>
    <xf numFmtId="0" fontId="1" fillId="3" borderId="5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0" fontId="1" fillId="6" borderId="8" xfId="0" applyFont="1" applyFill="1" applyBorder="1" applyAlignment="1">
      <alignment horizontal="left" vertical="center"/>
    </xf>
    <xf numFmtId="0" fontId="1" fillId="3" borderId="9" xfId="0" applyFont="1" applyFill="1" applyBorder="1" applyAlignment="1">
      <alignment horizontal="left" vertical="center"/>
    </xf>
    <xf numFmtId="1" fontId="0" fillId="0" borderId="0" xfId="0" applyNumberFormat="1"/>
    <xf numFmtId="1" fontId="1" fillId="0" borderId="1" xfId="0" applyNumberFormat="1" applyFont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 vertical="center"/>
    </xf>
    <xf numFmtId="165" fontId="1" fillId="6" borderId="0" xfId="0" applyNumberFormat="1" applyFont="1" applyFill="1" applyAlignment="1">
      <alignment horizontal="center"/>
    </xf>
    <xf numFmtId="0" fontId="1" fillId="3" borderId="6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65" fontId="0" fillId="16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164" fontId="0" fillId="0" borderId="0" xfId="0" applyNumberFormat="1"/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left" vertical="center" wrapText="1"/>
    </xf>
    <xf numFmtId="0" fontId="1" fillId="0" borderId="11" xfId="0" applyFont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/>
    </xf>
    <xf numFmtId="165" fontId="0" fillId="3" borderId="16" xfId="0" applyNumberFormat="1" applyFill="1" applyBorder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0" fillId="10" borderId="0" xfId="0" applyFill="1" applyAlignment="1">
      <alignment horizontal="left" vertical="center"/>
    </xf>
    <xf numFmtId="0" fontId="0" fillId="10" borderId="0" xfId="0" applyFill="1" applyAlignment="1">
      <alignment horizontal="left" vertical="center" wrapText="1"/>
    </xf>
    <xf numFmtId="0" fontId="0" fillId="10" borderId="0" xfId="0" applyFill="1"/>
    <xf numFmtId="0" fontId="0" fillId="10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center" wrapText="1"/>
    </xf>
    <xf numFmtId="0" fontId="0" fillId="3" borderId="11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8" xfId="0" applyFill="1" applyBorder="1" applyAlignment="1">
      <alignment vertical="center"/>
    </xf>
    <xf numFmtId="167" fontId="0" fillId="3" borderId="18" xfId="0" applyNumberFormat="1" applyFill="1" applyBorder="1" applyAlignment="1">
      <alignment horizontal="center" vertical="center"/>
    </xf>
    <xf numFmtId="167" fontId="0" fillId="3" borderId="19" xfId="0" applyNumberForma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3" borderId="0" xfId="0" applyFill="1" applyAlignment="1">
      <alignment horizontal="center"/>
    </xf>
    <xf numFmtId="166" fontId="0" fillId="6" borderId="1" xfId="2" applyNumberFormat="1" applyFont="1" applyFill="1" applyBorder="1"/>
    <xf numFmtId="0" fontId="0" fillId="6" borderId="1" xfId="0" applyFill="1" applyBorder="1" applyAlignment="1">
      <alignment horizontal="center"/>
    </xf>
    <xf numFmtId="0" fontId="0" fillId="10" borderId="1" xfId="0" applyFill="1" applyBorder="1"/>
    <xf numFmtId="0" fontId="0" fillId="18" borderId="1" xfId="0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0" fillId="10" borderId="1" xfId="0" applyFont="1" applyFill="1" applyBorder="1" applyAlignment="1">
      <alignment horizontal="center" vertical="center"/>
    </xf>
    <xf numFmtId="165" fontId="1" fillId="12" borderId="1" xfId="0" applyNumberFormat="1" applyFont="1" applyFill="1" applyBorder="1" applyAlignment="1">
      <alignment horizontal="center" vertical="center"/>
    </xf>
    <xf numFmtId="165" fontId="1" fillId="6" borderId="1" xfId="0" applyNumberFormat="1" applyFont="1" applyFill="1" applyBorder="1" applyAlignment="1">
      <alignment horizontal="center" vertical="center"/>
    </xf>
    <xf numFmtId="165" fontId="1" fillId="17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165" fontId="1" fillId="4" borderId="1" xfId="0" applyNumberFormat="1" applyFont="1" applyFill="1" applyBorder="1" applyAlignment="1">
      <alignment horizontal="center" vertical="center"/>
    </xf>
    <xf numFmtId="1" fontId="8" fillId="3" borderId="20" xfId="0" applyNumberFormat="1" applyFont="1" applyFill="1" applyBorder="1" applyAlignment="1">
      <alignment horizontal="center"/>
    </xf>
    <xf numFmtId="1" fontId="8" fillId="3" borderId="11" xfId="0" applyNumberFormat="1" applyFont="1" applyFill="1" applyBorder="1" applyAlignment="1">
      <alignment horizontal="center" vertical="center"/>
    </xf>
    <xf numFmtId="1" fontId="8" fillId="3" borderId="21" xfId="0" applyNumberFormat="1" applyFont="1" applyFill="1" applyBorder="1" applyAlignment="1">
      <alignment horizontal="center" vertical="center"/>
    </xf>
    <xf numFmtId="1" fontId="1" fillId="0" borderId="11" xfId="0" applyNumberFormat="1" applyFont="1" applyBorder="1" applyAlignment="1">
      <alignment horizontal="center"/>
    </xf>
    <xf numFmtId="1" fontId="7" fillId="18" borderId="1" xfId="0" applyNumberFormat="1" applyFont="1" applyFill="1" applyBorder="1" applyAlignment="1">
      <alignment horizontal="center" vertical="center"/>
    </xf>
    <xf numFmtId="0" fontId="9" fillId="18" borderId="1" xfId="0" applyFont="1" applyFill="1" applyBorder="1" applyAlignment="1">
      <alignment horizontal="center" vertical="center"/>
    </xf>
    <xf numFmtId="1" fontId="0" fillId="18" borderId="1" xfId="0" applyNumberFormat="1" applyFill="1" applyBorder="1" applyAlignment="1">
      <alignment horizontal="center" vertical="center"/>
    </xf>
    <xf numFmtId="1" fontId="0" fillId="18" borderId="11" xfId="0" applyNumberFormat="1" applyFill="1" applyBorder="1" applyAlignment="1">
      <alignment horizontal="center" vertical="center"/>
    </xf>
    <xf numFmtId="0" fontId="10" fillId="6" borderId="10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65" fontId="9" fillId="3" borderId="1" xfId="0" applyNumberFormat="1" applyFont="1" applyFill="1" applyBorder="1" applyAlignment="1">
      <alignment horizontal="center"/>
    </xf>
    <xf numFmtId="0" fontId="18" fillId="0" borderId="1" xfId="0" applyFont="1" applyBorder="1" applyAlignment="1">
      <alignment horizontal="left" vertical="center" wrapText="1"/>
    </xf>
    <xf numFmtId="0" fontId="0" fillId="10" borderId="11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167" fontId="0" fillId="10" borderId="1" xfId="0" applyNumberFormat="1" applyFill="1" applyBorder="1" applyAlignment="1">
      <alignment horizontal="center" vertical="center"/>
    </xf>
    <xf numFmtId="167" fontId="0" fillId="10" borderId="16" xfId="0" applyNumberFormat="1" applyFill="1" applyBorder="1" applyAlignment="1">
      <alignment horizontal="center" vertical="center"/>
    </xf>
    <xf numFmtId="1" fontId="0" fillId="10" borderId="1" xfId="0" applyNumberFormat="1" applyFill="1" applyBorder="1" applyAlignment="1">
      <alignment vertical="center"/>
    </xf>
    <xf numFmtId="0" fontId="0" fillId="10" borderId="0" xfId="0" applyFill="1" applyAlignment="1">
      <alignment horizontal="center"/>
    </xf>
    <xf numFmtId="0" fontId="1" fillId="0" borderId="23" xfId="0" applyFont="1" applyBorder="1"/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0" xfId="0" applyBorder="1"/>
    <xf numFmtId="0" fontId="10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11" borderId="1" xfId="0" applyFill="1" applyBorder="1"/>
    <xf numFmtId="0" fontId="20" fillId="11" borderId="1" xfId="0" applyFont="1" applyFill="1" applyBorder="1" applyAlignment="1">
      <alignment horizontal="left" vertical="center"/>
    </xf>
    <xf numFmtId="1" fontId="20" fillId="11" borderId="1" xfId="0" applyNumberFormat="1" applyFont="1" applyFill="1" applyBorder="1" applyAlignment="1">
      <alignment horizontal="center"/>
    </xf>
    <xf numFmtId="0" fontId="20" fillId="11" borderId="1" xfId="0" applyFont="1" applyFill="1" applyBorder="1" applyAlignment="1">
      <alignment horizontal="center" vertical="center"/>
    </xf>
    <xf numFmtId="1" fontId="20" fillId="11" borderId="1" xfId="0" applyNumberFormat="1" applyFont="1" applyFill="1" applyBorder="1"/>
    <xf numFmtId="1" fontId="20" fillId="11" borderId="11" xfId="0" applyNumberFormat="1" applyFont="1" applyFill="1" applyBorder="1"/>
    <xf numFmtId="0" fontId="0" fillId="0" borderId="0" xfId="0" applyFill="1" applyBorder="1" applyAlignment="1">
      <alignment horizontal="left" vertical="center"/>
    </xf>
    <xf numFmtId="0" fontId="1" fillId="0" borderId="20" xfId="0" applyFont="1" applyFill="1" applyBorder="1" applyAlignment="1">
      <alignment horizontal="center"/>
    </xf>
    <xf numFmtId="0" fontId="0" fillId="0" borderId="11" xfId="0" applyBorder="1"/>
    <xf numFmtId="0" fontId="20" fillId="11" borderId="11" xfId="0" applyFont="1" applyFill="1" applyBorder="1"/>
    <xf numFmtId="0" fontId="1" fillId="0" borderId="1" xfId="0" applyFont="1" applyFill="1" applyBorder="1" applyAlignment="1">
      <alignment horizontal="center"/>
    </xf>
    <xf numFmtId="1" fontId="0" fillId="20" borderId="1" xfId="0" applyNumberFormat="1" applyFill="1" applyBorder="1" applyAlignment="1">
      <alignment horizontal="center" vertical="center"/>
    </xf>
    <xf numFmtId="1" fontId="0" fillId="20" borderId="11" xfId="0" applyNumberFormat="1" applyFill="1" applyBorder="1" applyAlignment="1">
      <alignment horizontal="center" vertical="center"/>
    </xf>
    <xf numFmtId="0" fontId="0" fillId="21" borderId="1" xfId="0" applyFill="1" applyBorder="1"/>
    <xf numFmtId="1" fontId="8" fillId="21" borderId="11" xfId="0" applyNumberFormat="1" applyFont="1" applyFill="1" applyBorder="1" applyAlignment="1">
      <alignment horizontal="center" vertical="center"/>
    </xf>
    <xf numFmtId="1" fontId="9" fillId="21" borderId="22" xfId="0" applyNumberFormat="1" applyFont="1" applyFill="1" applyBorder="1" applyAlignment="1">
      <alignment vertical="center"/>
    </xf>
    <xf numFmtId="1" fontId="9" fillId="21" borderId="11" xfId="0" applyNumberFormat="1" applyFont="1" applyFill="1" applyBorder="1" applyAlignment="1">
      <alignment vertical="center"/>
    </xf>
    <xf numFmtId="1" fontId="9" fillId="5" borderId="11" xfId="0" applyNumberFormat="1" applyFont="1" applyFill="1" applyBorder="1" applyAlignment="1">
      <alignment vertical="center"/>
    </xf>
    <xf numFmtId="3" fontId="0" fillId="0" borderId="0" xfId="0" applyNumberFormat="1" applyAlignment="1">
      <alignment horizontal="center"/>
    </xf>
    <xf numFmtId="0" fontId="1" fillId="22" borderId="0" xfId="0" applyFont="1" applyFill="1"/>
    <xf numFmtId="0" fontId="0" fillId="22" borderId="0" xfId="0" applyFill="1"/>
    <xf numFmtId="165" fontId="0" fillId="0" borderId="1" xfId="0" applyNumberFormat="1" applyBorder="1" applyAlignment="1">
      <alignment horizontal="left"/>
    </xf>
    <xf numFmtId="3" fontId="0" fillId="0" borderId="1" xfId="0" applyNumberFormat="1" applyBorder="1" applyAlignment="1">
      <alignment horizontal="center"/>
    </xf>
    <xf numFmtId="3" fontId="1" fillId="0" borderId="0" xfId="0" applyNumberFormat="1" applyFont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10" borderId="4" xfId="0" applyFont="1" applyFill="1" applyBorder="1" applyAlignment="1">
      <alignment horizontal="center"/>
    </xf>
    <xf numFmtId="3" fontId="1" fillId="10" borderId="0" xfId="0" applyNumberFormat="1" applyFont="1" applyFill="1" applyAlignment="1">
      <alignment horizontal="center"/>
    </xf>
    <xf numFmtId="3" fontId="1" fillId="0" borderId="0" xfId="0" applyNumberFormat="1" applyFont="1" applyFill="1" applyAlignment="1">
      <alignment horizontal="center"/>
    </xf>
    <xf numFmtId="167" fontId="0" fillId="0" borderId="0" xfId="0" applyNumberFormat="1"/>
    <xf numFmtId="1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left" vertical="center"/>
    </xf>
    <xf numFmtId="1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1" fontId="1" fillId="0" borderId="0" xfId="0" applyNumberFormat="1" applyFont="1" applyFill="1" applyBorder="1" applyAlignment="1">
      <alignment horizontal="center"/>
    </xf>
    <xf numFmtId="0" fontId="7" fillId="0" borderId="0" xfId="0" applyFont="1" applyFill="1" applyBorder="1" applyAlignment="1">
      <alignment horizontal="left" vertical="center"/>
    </xf>
    <xf numFmtId="1" fontId="10" fillId="3" borderId="1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1" fontId="9" fillId="6" borderId="11" xfId="0" applyNumberFormat="1" applyFont="1" applyFill="1" applyBorder="1" applyAlignment="1">
      <alignment horizontal="center" vertical="center"/>
    </xf>
    <xf numFmtId="166" fontId="0" fillId="3" borderId="1" xfId="2" applyNumberFormat="1" applyFont="1" applyFill="1" applyBorder="1" applyAlignment="1">
      <alignment vertical="center"/>
    </xf>
    <xf numFmtId="0" fontId="0" fillId="3" borderId="0" xfId="0" applyFill="1" applyAlignment="1">
      <alignment vertical="center"/>
    </xf>
    <xf numFmtId="166" fontId="0" fillId="10" borderId="1" xfId="2" applyNumberFormat="1" applyFont="1" applyFill="1" applyBorder="1" applyAlignment="1">
      <alignment vertical="center"/>
    </xf>
    <xf numFmtId="0" fontId="0" fillId="10" borderId="0" xfId="0" applyFill="1" applyAlignment="1">
      <alignment vertical="center"/>
    </xf>
    <xf numFmtId="0" fontId="21" fillId="0" borderId="1" xfId="0" applyFont="1" applyBorder="1" applyAlignment="1">
      <alignment horizontal="left" vertical="center"/>
    </xf>
    <xf numFmtId="165" fontId="1" fillId="0" borderId="0" xfId="0" applyNumberFormat="1" applyFont="1" applyAlignment="1">
      <alignment horizontal="left"/>
    </xf>
    <xf numFmtId="0" fontId="6" fillId="0" borderId="1" xfId="0" applyFont="1" applyBorder="1" applyAlignment="1">
      <alignment vertical="center"/>
    </xf>
    <xf numFmtId="0" fontId="0" fillId="0" borderId="0" xfId="0" applyFont="1" applyBorder="1" applyAlignment="1">
      <alignment horizontal="left" vertical="center"/>
    </xf>
    <xf numFmtId="49" fontId="0" fillId="0" borderId="0" xfId="0" applyNumberFormat="1" applyFont="1" applyBorder="1" applyAlignment="1">
      <alignment horizontal="center"/>
    </xf>
    <xf numFmtId="0" fontId="0" fillId="10" borderId="11" xfId="0" applyFill="1" applyBorder="1" applyAlignment="1">
      <alignment horizontal="center"/>
    </xf>
    <xf numFmtId="0" fontId="0" fillId="21" borderId="11" xfId="0" applyFill="1" applyBorder="1"/>
    <xf numFmtId="0" fontId="0" fillId="21" borderId="11" xfId="0" applyFill="1" applyBorder="1" applyAlignment="1">
      <alignment horizontal="center"/>
    </xf>
    <xf numFmtId="0" fontId="0" fillId="21" borderId="21" xfId="0" applyFill="1" applyBorder="1"/>
    <xf numFmtId="0" fontId="0" fillId="21" borderId="22" xfId="0" applyFill="1" applyBorder="1"/>
    <xf numFmtId="0" fontId="0" fillId="5" borderId="11" xfId="0" applyFill="1" applyBorder="1"/>
    <xf numFmtId="0" fontId="1" fillId="21" borderId="1" xfId="0" applyFont="1" applyFill="1" applyBorder="1" applyAlignment="1">
      <alignment horizontal="center" vertical="center"/>
    </xf>
    <xf numFmtId="0" fontId="10" fillId="21" borderId="1" xfId="0" applyFont="1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/>
    </xf>
    <xf numFmtId="165" fontId="0" fillId="12" borderId="1" xfId="0" applyNumberFormat="1" applyFill="1" applyBorder="1" applyAlignment="1">
      <alignment horizontal="center" vertical="center"/>
    </xf>
    <xf numFmtId="165" fontId="0" fillId="17" borderId="1" xfId="0" applyNumberFormat="1" applyFill="1" applyBorder="1" applyAlignment="1">
      <alignment horizontal="center" vertical="center"/>
    </xf>
    <xf numFmtId="165" fontId="0" fillId="17" borderId="1" xfId="0" applyNumberFormat="1" applyFont="1" applyFill="1" applyBorder="1" applyAlignment="1">
      <alignment horizontal="center" vertical="center"/>
    </xf>
    <xf numFmtId="165" fontId="18" fillId="12" borderId="1" xfId="0" applyNumberFormat="1" applyFont="1" applyFill="1" applyBorder="1" applyAlignment="1">
      <alignment horizontal="center" vertical="center"/>
    </xf>
    <xf numFmtId="165" fontId="18" fillId="6" borderId="1" xfId="0" applyNumberFormat="1" applyFont="1" applyFill="1" applyBorder="1" applyAlignment="1">
      <alignment horizontal="center" vertical="center"/>
    </xf>
    <xf numFmtId="165" fontId="18" fillId="17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165" fontId="0" fillId="0" borderId="0" xfId="0" applyNumberFormat="1" applyAlignment="1">
      <alignment vertical="center"/>
    </xf>
    <xf numFmtId="0" fontId="0" fillId="3" borderId="0" xfId="0" applyFill="1" applyAlignment="1">
      <alignment vertical="center" wrapText="1"/>
    </xf>
    <xf numFmtId="0" fontId="0" fillId="6" borderId="0" xfId="0" applyFill="1" applyAlignment="1">
      <alignment vertical="center" wrapText="1"/>
    </xf>
    <xf numFmtId="0" fontId="0" fillId="17" borderId="0" xfId="0" applyFill="1" applyAlignment="1">
      <alignment vertical="center" wrapText="1"/>
    </xf>
    <xf numFmtId="165" fontId="0" fillId="17" borderId="0" xfId="0" applyNumberFormat="1" applyFill="1" applyAlignment="1">
      <alignment vertical="center"/>
    </xf>
    <xf numFmtId="166" fontId="0" fillId="3" borderId="0" xfId="2" applyNumberFormat="1" applyFont="1" applyFill="1" applyBorder="1"/>
    <xf numFmtId="165" fontId="0" fillId="10" borderId="1" xfId="0" applyNumberFormat="1" applyFill="1" applyBorder="1" applyAlignment="1">
      <alignment vertical="center"/>
    </xf>
    <xf numFmtId="9" fontId="0" fillId="0" borderId="0" xfId="1" applyFont="1" applyFill="1" applyAlignment="1">
      <alignment horizontal="center"/>
    </xf>
    <xf numFmtId="0" fontId="1" fillId="0" borderId="0" xfId="0" applyFont="1" applyAlignment="1">
      <alignment vertical="center" wrapText="1"/>
    </xf>
    <xf numFmtId="5" fontId="24" fillId="0" borderId="0" xfId="0" applyNumberFormat="1" applyFont="1" applyAlignment="1">
      <alignment horizontal="center" vertical="center"/>
    </xf>
    <xf numFmtId="165" fontId="0" fillId="6" borderId="11" xfId="0" applyNumberFormat="1" applyFill="1" applyBorder="1" applyAlignment="1">
      <alignment horizontal="left"/>
    </xf>
    <xf numFmtId="165" fontId="0" fillId="6" borderId="26" xfId="0" applyNumberFormat="1" applyFill="1" applyBorder="1" applyAlignment="1">
      <alignment horizontal="left"/>
    </xf>
    <xf numFmtId="165" fontId="0" fillId="6" borderId="27" xfId="0" applyNumberFormat="1" applyFill="1" applyBorder="1" applyAlignment="1">
      <alignment horizontal="left"/>
    </xf>
    <xf numFmtId="165" fontId="0" fillId="17" borderId="11" xfId="0" applyNumberFormat="1" applyFill="1" applyBorder="1" applyAlignment="1">
      <alignment horizontal="left" vertical="center" wrapText="1"/>
    </xf>
    <xf numFmtId="165" fontId="0" fillId="17" borderId="26" xfId="0" applyNumberFormat="1" applyFill="1" applyBorder="1" applyAlignment="1">
      <alignment horizontal="left" vertical="center" wrapText="1"/>
    </xf>
    <xf numFmtId="165" fontId="0" fillId="17" borderId="27" xfId="0" applyNumberFormat="1" applyFill="1" applyBorder="1" applyAlignment="1">
      <alignment horizontal="left" vertical="center" wrapText="1"/>
    </xf>
    <xf numFmtId="165" fontId="0" fillId="17" borderId="11" xfId="0" applyNumberFormat="1" applyFill="1" applyBorder="1" applyAlignment="1">
      <alignment horizontal="left" wrapText="1"/>
    </xf>
    <xf numFmtId="165" fontId="0" fillId="17" borderId="26" xfId="0" applyNumberFormat="1" applyFill="1" applyBorder="1" applyAlignment="1">
      <alignment horizontal="left" wrapText="1"/>
    </xf>
    <xf numFmtId="165" fontId="0" fillId="17" borderId="27" xfId="0" applyNumberFormat="1" applyFill="1" applyBorder="1" applyAlignment="1">
      <alignment horizontal="left" wrapText="1"/>
    </xf>
    <xf numFmtId="0" fontId="1" fillId="19" borderId="11" xfId="0" applyFont="1" applyFill="1" applyBorder="1" applyAlignment="1">
      <alignment horizontal="center" vertical="center" wrapText="1"/>
    </xf>
    <xf numFmtId="0" fontId="1" fillId="19" borderId="26" xfId="0" applyFont="1" applyFill="1" applyBorder="1" applyAlignment="1">
      <alignment horizontal="center" vertical="center" wrapText="1"/>
    </xf>
    <xf numFmtId="0" fontId="1" fillId="19" borderId="27" xfId="0" applyFont="1" applyFill="1" applyBorder="1" applyAlignment="1">
      <alignment horizontal="center" vertical="center" wrapText="1"/>
    </xf>
    <xf numFmtId="165" fontId="0" fillId="6" borderId="11" xfId="0" applyNumberFormat="1" applyFill="1" applyBorder="1" applyAlignment="1">
      <alignment horizontal="left" wrapText="1"/>
    </xf>
    <xf numFmtId="165" fontId="0" fillId="6" borderId="11" xfId="0" applyNumberFormat="1" applyFill="1" applyBorder="1" applyAlignment="1">
      <alignment horizontal="center"/>
    </xf>
    <xf numFmtId="165" fontId="0" fillId="6" borderId="26" xfId="0" applyNumberFormat="1" applyFill="1" applyBorder="1" applyAlignment="1">
      <alignment horizontal="center"/>
    </xf>
    <xf numFmtId="165" fontId="0" fillId="6" borderId="27" xfId="0" applyNumberFormat="1" applyFill="1" applyBorder="1" applyAlignment="1">
      <alignment horizontal="center"/>
    </xf>
    <xf numFmtId="165" fontId="0" fillId="6" borderId="11" xfId="0" applyNumberFormat="1" applyFill="1" applyBorder="1" applyAlignment="1">
      <alignment horizontal="left" vertical="center" wrapText="1"/>
    </xf>
    <xf numFmtId="165" fontId="0" fillId="6" borderId="26" xfId="0" applyNumberFormat="1" applyFill="1" applyBorder="1" applyAlignment="1">
      <alignment horizontal="left" vertical="center" wrapText="1"/>
    </xf>
    <xf numFmtId="165" fontId="0" fillId="6" borderId="27" xfId="0" applyNumberFormat="1" applyFill="1" applyBorder="1" applyAlignment="1">
      <alignment horizontal="left" vertical="center" wrapText="1"/>
    </xf>
    <xf numFmtId="165" fontId="0" fillId="6" borderId="26" xfId="0" applyNumberFormat="1" applyFill="1" applyBorder="1" applyAlignment="1">
      <alignment horizontal="left" vertical="center"/>
    </xf>
    <xf numFmtId="165" fontId="0" fillId="6" borderId="27" xfId="0" applyNumberFormat="1" applyFill="1" applyBorder="1" applyAlignment="1">
      <alignment horizontal="left" vertical="center"/>
    </xf>
    <xf numFmtId="0" fontId="0" fillId="6" borderId="0" xfId="0" applyFill="1" applyAlignment="1">
      <alignment horizontal="center"/>
    </xf>
    <xf numFmtId="0" fontId="0" fillId="8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</cellXfs>
  <cellStyles count="3">
    <cellStyle name="Денежный" xfId="2" builtinId="4"/>
    <cellStyle name="Обычный" xfId="0" builtinId="0"/>
    <cellStyle name="Процентный" xfId="1" builtinId="5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0BAD9-B093-4C39-9597-26BF582F8696}">
  <dimension ref="A1:P42"/>
  <sheetViews>
    <sheetView tabSelected="1" zoomScale="55" zoomScaleNormal="55" workbookViewId="0">
      <selection activeCell="A13" sqref="A13:XFD18"/>
    </sheetView>
  </sheetViews>
  <sheetFormatPr defaultRowHeight="15" x14ac:dyDescent="0.25"/>
  <cols>
    <col min="1" max="1" width="32.28515625" customWidth="1"/>
    <col min="2" max="3" width="13.42578125" customWidth="1"/>
    <col min="4" max="4" width="11.85546875" customWidth="1"/>
    <col min="5" max="5" width="11.42578125" customWidth="1"/>
    <col min="6" max="6" width="14.140625" customWidth="1"/>
    <col min="7" max="7" width="14" customWidth="1"/>
    <col min="8" max="8" width="12.85546875" customWidth="1"/>
    <col min="9" max="9" width="14.42578125" customWidth="1"/>
    <col min="10" max="10" width="13.85546875" style="16" customWidth="1"/>
    <col min="12" max="12" width="21.140625" customWidth="1"/>
    <col min="13" max="13" width="22.85546875" customWidth="1"/>
    <col min="15" max="15" width="15.140625" customWidth="1"/>
    <col min="16" max="16" width="14.85546875" customWidth="1"/>
  </cols>
  <sheetData>
    <row r="1" spans="1:16" s="222" customFormat="1" ht="30" x14ac:dyDescent="0.25">
      <c r="A1" s="250" t="s">
        <v>74</v>
      </c>
      <c r="B1" s="323" t="s">
        <v>173</v>
      </c>
      <c r="C1" s="323" t="s">
        <v>174</v>
      </c>
      <c r="D1" s="323" t="s">
        <v>198</v>
      </c>
      <c r="E1" s="324" t="s">
        <v>173</v>
      </c>
      <c r="F1" s="324" t="s">
        <v>174</v>
      </c>
      <c r="G1" s="324" t="s">
        <v>198</v>
      </c>
      <c r="H1" s="325" t="s">
        <v>173</v>
      </c>
      <c r="I1" s="325" t="s">
        <v>174</v>
      </c>
      <c r="J1" s="325" t="s">
        <v>198</v>
      </c>
      <c r="L1" s="27">
        <v>2026</v>
      </c>
      <c r="M1" s="74"/>
      <c r="O1" s="341" t="s">
        <v>222</v>
      </c>
    </row>
    <row r="2" spans="1:16" s="13" customFormat="1" x14ac:dyDescent="0.25">
      <c r="A2" s="55" t="s">
        <v>52</v>
      </c>
      <c r="B2" s="326">
        <v>0</v>
      </c>
      <c r="C2" s="326">
        <v>0</v>
      </c>
      <c r="D2" s="326">
        <v>0</v>
      </c>
      <c r="E2" s="135">
        <v>0</v>
      </c>
      <c r="F2" s="135" t="s">
        <v>224</v>
      </c>
      <c r="G2" s="135">
        <v>0</v>
      </c>
      <c r="H2" s="327">
        <v>0</v>
      </c>
      <c r="I2" s="328">
        <v>0</v>
      </c>
      <c r="J2" s="327">
        <v>0</v>
      </c>
      <c r="L2" s="45" t="s">
        <v>55</v>
      </c>
      <c r="M2" s="46">
        <v>100000000000</v>
      </c>
      <c r="O2" s="13" t="s">
        <v>52</v>
      </c>
      <c r="P2" s="333">
        <v>122</v>
      </c>
    </row>
    <row r="3" spans="1:16" s="13" customFormat="1" ht="42" customHeight="1" x14ac:dyDescent="0.25">
      <c r="A3" s="22" t="s">
        <v>191</v>
      </c>
      <c r="B3" s="326">
        <v>0</v>
      </c>
      <c r="C3" s="326">
        <v>0</v>
      </c>
      <c r="D3" s="326"/>
      <c r="E3" s="135"/>
      <c r="F3" s="135"/>
      <c r="G3" s="135"/>
      <c r="H3" s="327"/>
      <c r="I3" s="327"/>
      <c r="J3" s="327"/>
      <c r="L3" s="334" t="s">
        <v>218</v>
      </c>
      <c r="M3" s="40">
        <f>C10</f>
        <v>0</v>
      </c>
      <c r="O3" s="13" t="s">
        <v>68</v>
      </c>
      <c r="P3" s="333">
        <v>122222</v>
      </c>
    </row>
    <row r="4" spans="1:16" s="13" customFormat="1" ht="30" x14ac:dyDescent="0.25">
      <c r="A4" s="22" t="s">
        <v>192</v>
      </c>
      <c r="B4" s="326">
        <v>0</v>
      </c>
      <c r="C4" s="326"/>
      <c r="D4" s="326"/>
      <c r="E4" s="135"/>
      <c r="F4" s="135"/>
      <c r="G4" s="135"/>
      <c r="H4" s="327"/>
      <c r="I4" s="327"/>
      <c r="J4" s="327"/>
      <c r="L4" s="335" t="s">
        <v>219</v>
      </c>
      <c r="M4" s="124">
        <f>F10</f>
        <v>0</v>
      </c>
      <c r="O4" s="13" t="s">
        <v>69</v>
      </c>
      <c r="P4" s="333">
        <v>11111111</v>
      </c>
    </row>
    <row r="5" spans="1:16" s="13" customFormat="1" ht="30" x14ac:dyDescent="0.25">
      <c r="A5" s="311" t="s">
        <v>128</v>
      </c>
      <c r="B5" s="326">
        <v>0</v>
      </c>
      <c r="C5" s="326"/>
      <c r="D5" s="326"/>
      <c r="E5" s="135"/>
      <c r="F5" s="135"/>
      <c r="G5" s="135"/>
      <c r="H5" s="327"/>
      <c r="I5" s="327"/>
      <c r="J5" s="327"/>
      <c r="L5" s="336" t="s">
        <v>142</v>
      </c>
      <c r="M5" s="337">
        <f>I10</f>
        <v>0</v>
      </c>
      <c r="O5" s="13" t="s">
        <v>158</v>
      </c>
      <c r="P5" s="333"/>
    </row>
    <row r="6" spans="1:16" s="13" customFormat="1" x14ac:dyDescent="0.25">
      <c r="A6" s="55" t="s">
        <v>54</v>
      </c>
      <c r="B6" s="326">
        <v>0</v>
      </c>
      <c r="C6" s="326"/>
      <c r="D6" s="326"/>
      <c r="E6" s="135"/>
      <c r="F6" s="135"/>
      <c r="G6" s="135"/>
      <c r="H6" s="327"/>
      <c r="I6" s="327"/>
      <c r="J6" s="327"/>
      <c r="P6" s="333">
        <f>SUM(P2:P5)</f>
        <v>11233455</v>
      </c>
    </row>
    <row r="7" spans="1:16" s="13" customFormat="1" x14ac:dyDescent="0.25">
      <c r="A7" s="200" t="s">
        <v>78</v>
      </c>
      <c r="B7" s="326">
        <v>0</v>
      </c>
      <c r="C7" s="326"/>
      <c r="D7" s="326"/>
      <c r="E7" s="135"/>
      <c r="F7" s="135"/>
      <c r="G7" s="135"/>
      <c r="H7" s="327"/>
      <c r="I7" s="327"/>
      <c r="J7" s="327"/>
    </row>
    <row r="8" spans="1:16" s="13" customFormat="1" x14ac:dyDescent="0.25">
      <c r="A8" s="309" t="s">
        <v>57</v>
      </c>
      <c r="B8" s="329">
        <v>0</v>
      </c>
      <c r="C8" s="329"/>
      <c r="D8" s="329"/>
      <c r="E8" s="330"/>
      <c r="F8" s="330"/>
      <c r="G8" s="330"/>
      <c r="H8" s="331"/>
      <c r="I8" s="331"/>
      <c r="J8" s="331"/>
    </row>
    <row r="9" spans="1:16" s="13" customFormat="1" x14ac:dyDescent="0.25">
      <c r="A9" s="26" t="s">
        <v>213</v>
      </c>
      <c r="B9" s="231"/>
      <c r="C9" s="231"/>
      <c r="D9" s="231"/>
      <c r="E9" s="232"/>
      <c r="F9" s="232"/>
      <c r="G9" s="232"/>
      <c r="H9" s="233"/>
      <c r="I9" s="233"/>
      <c r="J9" s="233"/>
    </row>
    <row r="10" spans="1:16" s="13" customFormat="1" ht="105" x14ac:dyDescent="0.25">
      <c r="A10" s="342">
        <f>M2</f>
        <v>100000000000</v>
      </c>
      <c r="B10" s="332" t="s">
        <v>175</v>
      </c>
      <c r="C10" s="231">
        <f>SUM(B9:C9)</f>
        <v>0</v>
      </c>
      <c r="D10" s="231"/>
      <c r="E10" s="332" t="s">
        <v>207</v>
      </c>
      <c r="F10" s="232">
        <f>E9+F9</f>
        <v>0</v>
      </c>
      <c r="G10" s="232"/>
      <c r="H10" s="332" t="s">
        <v>199</v>
      </c>
      <c r="I10" s="233">
        <f>H9+I9</f>
        <v>0</v>
      </c>
      <c r="J10" s="327"/>
    </row>
    <row r="12" spans="1:16" ht="29.1" customHeight="1" x14ac:dyDescent="0.25">
      <c r="A12" s="250" t="s">
        <v>74</v>
      </c>
      <c r="B12" s="352" t="s">
        <v>200</v>
      </c>
      <c r="C12" s="353"/>
      <c r="D12" s="353"/>
      <c r="E12" s="353"/>
      <c r="F12" s="353"/>
      <c r="G12" s="354"/>
    </row>
    <row r="13" spans="1:16" ht="36.75" customHeight="1" x14ac:dyDescent="0.25">
      <c r="A13" s="55" t="s">
        <v>52</v>
      </c>
      <c r="B13" s="355"/>
      <c r="C13" s="344"/>
      <c r="D13" s="345"/>
      <c r="E13" s="346"/>
      <c r="F13" s="347"/>
      <c r="G13" s="348"/>
    </row>
    <row r="14" spans="1:16" ht="36.75" customHeight="1" x14ac:dyDescent="0.25">
      <c r="A14" s="22" t="s">
        <v>191</v>
      </c>
      <c r="B14" s="355"/>
      <c r="C14" s="344"/>
      <c r="D14" s="345"/>
      <c r="E14" s="346"/>
      <c r="F14" s="347"/>
      <c r="G14" s="348"/>
    </row>
    <row r="15" spans="1:16" ht="36.75" customHeight="1" x14ac:dyDescent="0.25">
      <c r="A15" s="22" t="s">
        <v>192</v>
      </c>
      <c r="B15" s="356"/>
      <c r="C15" s="357"/>
      <c r="D15" s="358"/>
      <c r="E15" s="346"/>
      <c r="F15" s="347"/>
      <c r="G15" s="348"/>
    </row>
    <row r="16" spans="1:16" s="13" customFormat="1" ht="36.75" customHeight="1" x14ac:dyDescent="0.25">
      <c r="A16" s="311" t="s">
        <v>128</v>
      </c>
      <c r="B16" s="359"/>
      <c r="C16" s="360"/>
      <c r="D16" s="361"/>
      <c r="E16" s="346"/>
      <c r="F16" s="347"/>
      <c r="G16" s="348"/>
      <c r="J16" s="15"/>
    </row>
    <row r="17" spans="1:8" ht="36.75" customHeight="1" x14ac:dyDescent="0.25">
      <c r="A17" s="55" t="s">
        <v>54</v>
      </c>
      <c r="B17" s="359"/>
      <c r="C17" s="362"/>
      <c r="D17" s="363"/>
      <c r="E17" s="346"/>
      <c r="F17" s="347"/>
      <c r="G17" s="348"/>
    </row>
    <row r="18" spans="1:8" ht="36.75" customHeight="1" x14ac:dyDescent="0.25">
      <c r="A18" s="200" t="s">
        <v>78</v>
      </c>
      <c r="B18" s="343"/>
      <c r="C18" s="344"/>
      <c r="D18" s="345"/>
      <c r="E18" s="349"/>
      <c r="F18" s="350"/>
      <c r="G18" s="351"/>
    </row>
    <row r="20" spans="1:8" ht="15.75" thickBot="1" x14ac:dyDescent="0.3">
      <c r="F20" s="201"/>
      <c r="G20" s="201"/>
    </row>
    <row r="21" spans="1:8" ht="15.75" thickBot="1" x14ac:dyDescent="0.3">
      <c r="A21" s="257" t="s">
        <v>223</v>
      </c>
      <c r="B21" s="258" t="s">
        <v>52</v>
      </c>
      <c r="C21" s="258" t="s">
        <v>68</v>
      </c>
      <c r="D21" s="258" t="s">
        <v>127</v>
      </c>
      <c r="E21" s="259" t="s">
        <v>69</v>
      </c>
      <c r="F21" s="273" t="s">
        <v>197</v>
      </c>
      <c r="G21" s="276" t="s">
        <v>158</v>
      </c>
      <c r="H21" s="260"/>
    </row>
    <row r="22" spans="1:8" x14ac:dyDescent="0.25">
      <c r="A22" s="183" t="s">
        <v>49</v>
      </c>
      <c r="B22" s="177">
        <v>12</v>
      </c>
      <c r="C22" s="191">
        <v>12</v>
      </c>
      <c r="D22" s="178">
        <v>12</v>
      </c>
      <c r="E22" s="239">
        <v>12</v>
      </c>
      <c r="F22" s="314">
        <v>12</v>
      </c>
      <c r="G22" s="320"/>
    </row>
    <row r="23" spans="1:8" x14ac:dyDescent="0.25">
      <c r="A23" s="184" t="s">
        <v>67</v>
      </c>
      <c r="B23" s="302">
        <v>1</v>
      </c>
      <c r="C23" s="168">
        <v>1</v>
      </c>
      <c r="D23" s="171"/>
      <c r="E23" s="280"/>
      <c r="F23" s="315"/>
      <c r="G23" s="321"/>
    </row>
    <row r="24" spans="1:8" x14ac:dyDescent="0.25">
      <c r="A24" s="185"/>
      <c r="B24" s="167"/>
      <c r="C24" s="192"/>
      <c r="D24" s="172"/>
      <c r="E24" s="240"/>
      <c r="F24" s="316"/>
      <c r="G24" s="279"/>
      <c r="H24" s="301"/>
    </row>
    <row r="25" spans="1:8" ht="15.75" thickBot="1" x14ac:dyDescent="0.3">
      <c r="A25" s="186"/>
      <c r="B25" s="179"/>
      <c r="C25" s="247"/>
      <c r="D25" s="180"/>
      <c r="E25" s="241"/>
      <c r="F25" s="317"/>
      <c r="G25" s="279"/>
      <c r="H25" s="262"/>
    </row>
    <row r="26" spans="1:8" x14ac:dyDescent="0.25">
      <c r="A26" s="174"/>
      <c r="B26" s="175"/>
      <c r="C26" s="193"/>
      <c r="D26" s="176"/>
      <c r="E26" s="281"/>
      <c r="F26" s="318"/>
      <c r="G26" s="279"/>
      <c r="H26" s="301"/>
    </row>
    <row r="27" spans="1:8" x14ac:dyDescent="0.25">
      <c r="A27" s="173"/>
      <c r="B27" s="161"/>
      <c r="C27" s="162"/>
      <c r="D27" s="277"/>
      <c r="E27" s="278"/>
      <c r="F27" s="315"/>
      <c r="G27" s="225"/>
      <c r="H27" s="263"/>
    </row>
    <row r="28" spans="1:8" x14ac:dyDescent="0.25">
      <c r="A28" s="173"/>
      <c r="B28" s="161"/>
      <c r="C28" s="162"/>
      <c r="D28" s="277"/>
      <c r="E28" s="278"/>
      <c r="F28" s="315"/>
      <c r="G28" s="225"/>
      <c r="H28" s="263"/>
    </row>
    <row r="29" spans="1:8" x14ac:dyDescent="0.25">
      <c r="A29" s="267"/>
      <c r="B29" s="268"/>
      <c r="C29" s="269"/>
      <c r="D29" s="270"/>
      <c r="E29" s="271"/>
      <c r="F29" s="275"/>
      <c r="G29" s="266"/>
      <c r="H29" s="272"/>
    </row>
    <row r="30" spans="1:8" x14ac:dyDescent="0.25">
      <c r="A30" s="37"/>
      <c r="B30" s="189"/>
      <c r="C30" s="248"/>
      <c r="D30" s="170"/>
      <c r="E30" s="282"/>
      <c r="F30" s="315"/>
      <c r="G30" s="279"/>
      <c r="H30" s="301"/>
    </row>
    <row r="31" spans="1:8" x14ac:dyDescent="0.25">
      <c r="A31" s="134"/>
      <c r="B31" s="149"/>
      <c r="C31" s="194"/>
      <c r="D31" s="170"/>
      <c r="E31" s="283"/>
      <c r="F31" s="319"/>
      <c r="G31" s="322"/>
    </row>
    <row r="32" spans="1:8" x14ac:dyDescent="0.25">
      <c r="A32" s="109"/>
      <c r="B32" s="169"/>
      <c r="C32" s="101"/>
      <c r="D32" s="170"/>
      <c r="E32" s="304">
        <v>4</v>
      </c>
      <c r="F32" s="319"/>
      <c r="G32" s="322"/>
    </row>
    <row r="33" spans="1:7" x14ac:dyDescent="0.25">
      <c r="A33" s="26" t="s">
        <v>57</v>
      </c>
      <c r="B33" s="150">
        <f>SUM(B22:B31)</f>
        <v>13</v>
      </c>
      <c r="C33" s="34">
        <f>SUM(C22:C31)</f>
        <v>13</v>
      </c>
      <c r="D33" s="151">
        <f>SUM(D22:D31)</f>
        <v>12</v>
      </c>
      <c r="E33" s="242">
        <f>SUM(E22:E32)</f>
        <v>16</v>
      </c>
      <c r="F33" s="274"/>
      <c r="G33" s="276"/>
    </row>
    <row r="34" spans="1:7" x14ac:dyDescent="0.25">
      <c r="A34" s="296" t="s">
        <v>212</v>
      </c>
      <c r="B34" s="297">
        <f>B22+B23+B24+B25+B30</f>
        <v>13</v>
      </c>
      <c r="C34" s="298">
        <f>C22</f>
        <v>12</v>
      </c>
      <c r="D34" s="300"/>
      <c r="E34" s="297">
        <f>Стажировка!C8+Стажировка!C9+Стажировка!C10</f>
        <v>16</v>
      </c>
      <c r="F34" s="261"/>
      <c r="G34" s="260"/>
    </row>
    <row r="35" spans="1:7" x14ac:dyDescent="0.25">
      <c r="A35" s="296" t="s">
        <v>204</v>
      </c>
      <c r="B35" s="297">
        <f>B26+B27</f>
        <v>0</v>
      </c>
      <c r="C35" s="297">
        <f>РПД!F24</f>
        <v>18</v>
      </c>
      <c r="D35" s="300">
        <v>1</v>
      </c>
      <c r="E35" s="297">
        <f>Стажировка!C11</f>
        <v>2</v>
      </c>
      <c r="F35" s="303">
        <v>8</v>
      </c>
      <c r="G35" s="260"/>
    </row>
    <row r="36" spans="1:7" x14ac:dyDescent="0.25">
      <c r="A36" s="296" t="s">
        <v>211</v>
      </c>
      <c r="B36" s="299" t="s">
        <v>210</v>
      </c>
      <c r="C36" s="298" t="s">
        <v>209</v>
      </c>
      <c r="D36" s="300">
        <v>0</v>
      </c>
      <c r="E36" s="297" t="s">
        <v>209</v>
      </c>
      <c r="F36" s="298">
        <v>0</v>
      </c>
      <c r="G36" s="260"/>
    </row>
    <row r="37" spans="1:7" x14ac:dyDescent="0.25">
      <c r="A37" s="312" t="s">
        <v>216</v>
      </c>
      <c r="B37" s="313" t="s">
        <v>217</v>
      </c>
      <c r="C37" s="298"/>
      <c r="D37" s="300"/>
      <c r="E37" s="297"/>
      <c r="F37" s="298"/>
      <c r="G37" s="260"/>
    </row>
    <row r="38" spans="1:7" ht="15.75" thickBot="1" x14ac:dyDescent="0.3">
      <c r="G38" s="261"/>
    </row>
    <row r="39" spans="1:7" x14ac:dyDescent="0.25">
      <c r="A39" s="257" t="s">
        <v>201</v>
      </c>
      <c r="B39" s="258" t="s">
        <v>52</v>
      </c>
      <c r="C39" s="258" t="s">
        <v>68</v>
      </c>
      <c r="D39" s="258" t="s">
        <v>127</v>
      </c>
      <c r="E39" s="259" t="s">
        <v>69</v>
      </c>
      <c r="F39" s="264" t="s">
        <v>197</v>
      </c>
    </row>
    <row r="40" spans="1:7" x14ac:dyDescent="0.25">
      <c r="A40" s="173" t="s">
        <v>225</v>
      </c>
      <c r="B40" s="243">
        <v>12</v>
      </c>
      <c r="C40" s="244">
        <v>12</v>
      </c>
      <c r="D40" s="245"/>
      <c r="E40" s="246"/>
      <c r="F40" s="226"/>
    </row>
    <row r="41" spans="1:7" x14ac:dyDescent="0.25">
      <c r="A41" s="173" t="s">
        <v>49</v>
      </c>
      <c r="B41" s="245">
        <v>12</v>
      </c>
      <c r="C41" s="227">
        <v>12</v>
      </c>
      <c r="D41" s="245"/>
      <c r="E41" s="246"/>
      <c r="F41" s="226"/>
    </row>
    <row r="42" spans="1:7" x14ac:dyDescent="0.25">
      <c r="A42" s="26" t="s">
        <v>57</v>
      </c>
      <c r="B42" s="150">
        <f>SUM(B40:B41)</f>
        <v>24</v>
      </c>
      <c r="C42" s="34">
        <f>SUM(C40:C41)</f>
        <v>24</v>
      </c>
      <c r="D42" s="151">
        <f>SUM(D40:D41)</f>
        <v>0</v>
      </c>
      <c r="E42" s="242">
        <f>SUM(E40:E41)</f>
        <v>0</v>
      </c>
      <c r="F42" s="21"/>
    </row>
  </sheetData>
  <mergeCells count="13">
    <mergeCell ref="B18:D18"/>
    <mergeCell ref="E17:G17"/>
    <mergeCell ref="E18:G18"/>
    <mergeCell ref="B12:G12"/>
    <mergeCell ref="B13:D13"/>
    <mergeCell ref="E13:G13"/>
    <mergeCell ref="B14:D14"/>
    <mergeCell ref="E14:G14"/>
    <mergeCell ref="B15:D15"/>
    <mergeCell ref="E15:G15"/>
    <mergeCell ref="B16:D16"/>
    <mergeCell ref="E16:G16"/>
    <mergeCell ref="B17:D17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4A807-04AA-4494-ABB3-F4399E49B486}">
  <dimension ref="A1:P23"/>
  <sheetViews>
    <sheetView zoomScale="70" zoomScaleNormal="70" workbookViewId="0">
      <selection activeCell="C50" sqref="C50"/>
    </sheetView>
  </sheetViews>
  <sheetFormatPr defaultRowHeight="15" x14ac:dyDescent="0.25"/>
  <cols>
    <col min="1" max="1" width="35.28515625" customWidth="1"/>
    <col min="2" max="2" width="14.85546875" customWidth="1"/>
    <col min="3" max="3" width="13.5703125" customWidth="1"/>
    <col min="4" max="4" width="12.85546875" customWidth="1"/>
    <col min="5" max="5" width="11.85546875" customWidth="1"/>
    <col min="6" max="6" width="16.28515625" customWidth="1"/>
    <col min="7" max="7" width="15" customWidth="1"/>
    <col min="8" max="8" width="14.5703125" customWidth="1"/>
    <col min="9" max="9" width="11" customWidth="1"/>
    <col min="10" max="10" width="19.42578125" customWidth="1"/>
    <col min="11" max="11" width="15.85546875" customWidth="1"/>
    <col min="12" max="13" width="11.85546875" customWidth="1"/>
    <col min="14" max="14" width="22.85546875" customWidth="1"/>
    <col min="15" max="15" width="7.5703125" customWidth="1"/>
    <col min="16" max="16" width="16.140625" customWidth="1"/>
  </cols>
  <sheetData>
    <row r="1" spans="1:16" ht="47.1" customHeight="1" x14ac:dyDescent="0.25">
      <c r="A1" s="55" t="s">
        <v>74</v>
      </c>
      <c r="B1" s="18" t="s">
        <v>131</v>
      </c>
      <c r="C1" s="112" t="s">
        <v>146</v>
      </c>
      <c r="D1" s="18" t="s">
        <v>132</v>
      </c>
      <c r="E1" s="112" t="s">
        <v>147</v>
      </c>
      <c r="F1" s="17" t="s">
        <v>141</v>
      </c>
      <c r="G1" s="112" t="s">
        <v>148</v>
      </c>
      <c r="H1" s="152" t="s">
        <v>165</v>
      </c>
      <c r="I1" s="152" t="s">
        <v>166</v>
      </c>
      <c r="J1" s="18" t="s">
        <v>164</v>
      </c>
      <c r="K1" s="18" t="s">
        <v>73</v>
      </c>
      <c r="L1" s="153" t="s">
        <v>163</v>
      </c>
      <c r="N1" s="55" t="s">
        <v>74</v>
      </c>
      <c r="O1" s="19" t="s">
        <v>83</v>
      </c>
      <c r="P1" s="19" t="s">
        <v>84</v>
      </c>
    </row>
    <row r="2" spans="1:16" x14ac:dyDescent="0.25">
      <c r="A2" s="23" t="s">
        <v>52</v>
      </c>
      <c r="B2" s="48">
        <f>SUMIFS(Преподавание!O2:'Преподавание'!O4,Преподавание!H2:H4,"*МФТИ*")</f>
        <v>8280</v>
      </c>
      <c r="C2" s="113">
        <f>SUMIFS(Преподавание!O2:'Преподавание'!O4,Преподавание!H2:H4,"*МФТИ*",Преподавание!Y2:Y4,"*да*")</f>
        <v>8280</v>
      </c>
      <c r="D2" s="49">
        <f>SUMIFS(Преподавание!O2:'Преподавание'!O4,Преподавание!H2:H4,"&lt;&gt;*МФТИ*")</f>
        <v>0</v>
      </c>
      <c r="E2" s="113">
        <f>SUMIFS(Преподавание!O2:'Преподавание'!O4,Преподавание!H2:H4,"&lt;&gt;*МФТИ*",Преподавание!Y2:Y4,"*да*")</f>
        <v>0</v>
      </c>
      <c r="F2" s="30">
        <f>B2+D2</f>
        <v>8280</v>
      </c>
      <c r="G2" s="249">
        <f>C2+E2</f>
        <v>8280</v>
      </c>
      <c r="H2" s="66" t="e">
        <f>G2/G8</f>
        <v>#REF!</v>
      </c>
      <c r="I2" s="66" t="e">
        <f>F2/$F$8</f>
        <v>#REF!</v>
      </c>
      <c r="J2" s="104" t="s">
        <v>82</v>
      </c>
      <c r="K2" s="30">
        <v>0</v>
      </c>
      <c r="L2" s="156"/>
      <c r="M2" s="47"/>
      <c r="N2" s="23" t="s">
        <v>52</v>
      </c>
      <c r="O2" s="69">
        <v>0.1</v>
      </c>
      <c r="P2" s="71">
        <f>22000000*O2</f>
        <v>2200000</v>
      </c>
    </row>
    <row r="3" spans="1:16" s="13" customFormat="1" ht="30" x14ac:dyDescent="0.25">
      <c r="A3" s="24" t="s">
        <v>125</v>
      </c>
      <c r="B3" s="49" t="e">
        <f>РПД!J15+РПД!#REF!+РПД!#REF!+РПД!#REF!+РПД!#REF!+РПД!#REF!+РПД!#REF!+РПД!#REF!+РПД!#REF!+РПД!J16</f>
        <v>#REF!</v>
      </c>
      <c r="C3" s="61" t="e">
        <f>B3</f>
        <v>#REF!</v>
      </c>
      <c r="D3" s="49" t="e">
        <f>F3-B3</f>
        <v>#REF!</v>
      </c>
      <c r="E3" s="61">
        <v>0</v>
      </c>
      <c r="F3" s="30">
        <f>РПД!J18</f>
        <v>320000</v>
      </c>
      <c r="G3" s="166" t="e">
        <f>C3+E3</f>
        <v>#REF!</v>
      </c>
      <c r="H3" s="67" t="e">
        <f>G3/G8</f>
        <v>#REF!</v>
      </c>
      <c r="I3" s="67" t="e">
        <f t="shared" ref="I3:I8" si="0">F3/$F$8</f>
        <v>#REF!</v>
      </c>
      <c r="J3" s="44">
        <v>0</v>
      </c>
      <c r="K3" s="30">
        <v>0</v>
      </c>
      <c r="L3" s="20"/>
      <c r="N3" s="23" t="s">
        <v>53</v>
      </c>
      <c r="O3" s="70">
        <v>0.1</v>
      </c>
      <c r="P3" s="30">
        <f>22000000*O3</f>
        <v>2200000</v>
      </c>
    </row>
    <row r="4" spans="1:16" x14ac:dyDescent="0.25">
      <c r="A4" s="24" t="s">
        <v>126</v>
      </c>
      <c r="B4" s="102">
        <f>ООП!H23-ООП!H17-ООП!H19</f>
        <v>5008880</v>
      </c>
      <c r="C4" s="113">
        <v>0</v>
      </c>
      <c r="D4" s="48">
        <f>ООП!H20</f>
        <v>0</v>
      </c>
      <c r="E4" s="113">
        <v>0</v>
      </c>
      <c r="F4" s="195">
        <f>B4+D4</f>
        <v>5008880</v>
      </c>
      <c r="G4" s="113">
        <f>C4+E4</f>
        <v>0</v>
      </c>
      <c r="H4" s="164"/>
      <c r="I4" s="164"/>
      <c r="J4" s="44">
        <v>0</v>
      </c>
      <c r="K4" s="30">
        <v>0</v>
      </c>
      <c r="L4" s="21"/>
      <c r="N4" s="23"/>
      <c r="O4" s="69"/>
      <c r="P4" s="71"/>
    </row>
    <row r="5" spans="1:16" x14ac:dyDescent="0.25">
      <c r="A5" s="21" t="s">
        <v>128</v>
      </c>
      <c r="B5" s="111" t="e">
        <f>#REF!</f>
        <v>#REF!</v>
      </c>
      <c r="C5" s="113">
        <v>0</v>
      </c>
      <c r="D5" s="71">
        <v>0</v>
      </c>
      <c r="E5" s="113">
        <v>0</v>
      </c>
      <c r="F5" s="111" t="e">
        <f>B5+D5</f>
        <v>#REF!</v>
      </c>
      <c r="G5" s="113">
        <v>0</v>
      </c>
      <c r="H5" s="164"/>
      <c r="I5" s="164"/>
      <c r="J5" s="71">
        <v>0</v>
      </c>
      <c r="K5" s="71">
        <v>0</v>
      </c>
      <c r="L5" s="21"/>
      <c r="N5" s="23" t="s">
        <v>54</v>
      </c>
      <c r="O5" s="69">
        <v>0.7</v>
      </c>
      <c r="P5" s="71">
        <f>220000700*O5</f>
        <v>154000490</v>
      </c>
    </row>
    <row r="6" spans="1:16" s="13" customFormat="1" x14ac:dyDescent="0.25">
      <c r="A6" s="23" t="s">
        <v>54</v>
      </c>
      <c r="B6" s="49" t="e">
        <f>SUMIF(Стажировка!C3:C5,"*МФТИ*",Стажировка!#REF!:Стажировка!#REF!)</f>
        <v>#REF!</v>
      </c>
      <c r="C6" s="61" t="e">
        <f>SUMIFS(Стажировка!#REF!:Стажировка!#REF!, Стажировка!#REF!:Стажировка!#REF!,"*МФТИ*", Стажировка!#REF!:Стажировка!#REF!,"&lt;&gt;*Поиск кандидата*")</f>
        <v>#REF!</v>
      </c>
      <c r="D6" s="49" t="e">
        <f>SUMIF(Стажировка!C3:C5,"&lt;&gt;*МФТИ*",Стажировка!#REF!:Стажировка!#REF!)</f>
        <v>#REF!</v>
      </c>
      <c r="E6" s="61" t="e">
        <f>SUMIFS(Стажировка!#REF!:Стажировка!#REF!, Стажировка!#REF!:Стажировка!#REF!,"&lt;&gt;*МФТИ*", Стажировка!#REF!:Стажировка!#REF!,"&lt;&gt;*Поиск кандидата*")</f>
        <v>#REF!</v>
      </c>
      <c r="F6" s="30" t="e">
        <f>B6+D6</f>
        <v>#REF!</v>
      </c>
      <c r="G6" s="61" t="e">
        <f>C6+E6</f>
        <v>#REF!</v>
      </c>
      <c r="H6" s="66" t="e">
        <f>G6/G8</f>
        <v>#REF!</v>
      </c>
      <c r="I6" s="66" t="e">
        <f t="shared" si="0"/>
        <v>#REF!</v>
      </c>
      <c r="J6" s="139" t="e">
        <f>Стажировка!#REF!+Стажировка!L3+Стажировка!L4+Стажировка!L5+Стажировка!#REF!</f>
        <v>#REF!</v>
      </c>
      <c r="K6" s="53">
        <v>0</v>
      </c>
      <c r="L6" s="156"/>
      <c r="M6"/>
      <c r="N6" s="42" t="s">
        <v>78</v>
      </c>
      <c r="O6" s="70">
        <v>0.1</v>
      </c>
      <c r="P6" s="71">
        <f>220007000*O6</f>
        <v>22000700</v>
      </c>
    </row>
    <row r="7" spans="1:16" x14ac:dyDescent="0.25">
      <c r="A7" s="42" t="s">
        <v>78</v>
      </c>
      <c r="B7" s="50">
        <v>0</v>
      </c>
      <c r="C7" s="113">
        <v>0</v>
      </c>
      <c r="D7" s="116">
        <v>2150000</v>
      </c>
      <c r="E7" s="113">
        <v>0</v>
      </c>
      <c r="F7" s="30">
        <f>D7</f>
        <v>2150000</v>
      </c>
      <c r="G7" s="113">
        <v>0</v>
      </c>
      <c r="H7" s="67" t="e">
        <f>G7/G8</f>
        <v>#REF!</v>
      </c>
      <c r="I7" s="66" t="e">
        <f t="shared" si="0"/>
        <v>#REF!</v>
      </c>
      <c r="J7" s="44">
        <f>F7</f>
        <v>2150000</v>
      </c>
      <c r="K7" s="30">
        <v>17200000</v>
      </c>
      <c r="L7" s="157"/>
      <c r="M7" s="13"/>
      <c r="N7" s="26" t="s">
        <v>57</v>
      </c>
      <c r="O7" s="21"/>
      <c r="P7" s="72">
        <f>SUM(P2:P6)</f>
        <v>180401190</v>
      </c>
    </row>
    <row r="8" spans="1:16" x14ac:dyDescent="0.25">
      <c r="A8" s="26" t="s">
        <v>57</v>
      </c>
      <c r="B8" s="51" t="e">
        <f>SUM(B2:B7)</f>
        <v>#REF!</v>
      </c>
      <c r="C8" s="114" t="e">
        <f>SUM(C2:C7)</f>
        <v>#REF!</v>
      </c>
      <c r="D8" s="51" t="e">
        <f t="shared" ref="D8:K8" si="1">SUM(D2:D7)</f>
        <v>#REF!</v>
      </c>
      <c r="E8" s="114" t="e">
        <f t="shared" si="1"/>
        <v>#REF!</v>
      </c>
      <c r="F8" s="125" t="e">
        <f>F2+F3+F6+F7</f>
        <v>#REF!</v>
      </c>
      <c r="G8" s="114" t="e">
        <f t="shared" si="1"/>
        <v>#REF!</v>
      </c>
      <c r="H8" s="68" t="e">
        <f t="shared" si="1"/>
        <v>#REF!</v>
      </c>
      <c r="I8" s="68" t="e">
        <f t="shared" si="0"/>
        <v>#REF!</v>
      </c>
      <c r="J8" s="43" t="e">
        <f t="shared" si="1"/>
        <v>#REF!</v>
      </c>
      <c r="K8" s="43">
        <f t="shared" si="1"/>
        <v>17200000</v>
      </c>
      <c r="L8" s="158" t="e">
        <f>K8-J6-J7</f>
        <v>#REF!</v>
      </c>
      <c r="M8" s="47"/>
      <c r="N8" s="35"/>
    </row>
    <row r="9" spans="1:16" x14ac:dyDescent="0.25">
      <c r="A9" s="31" t="s">
        <v>58</v>
      </c>
      <c r="B9" s="52" t="e">
        <f>B8/B17</f>
        <v>#REF!</v>
      </c>
      <c r="C9" s="119" t="e">
        <f>C8/G8</f>
        <v>#REF!</v>
      </c>
      <c r="D9" s="52" t="e">
        <f>D8/B17</f>
        <v>#REF!</v>
      </c>
      <c r="E9" s="119" t="e">
        <f>E8/G8</f>
        <v>#REF!</v>
      </c>
      <c r="F9" s="52" t="e">
        <f>F8/B16-1</f>
        <v>#REF!</v>
      </c>
      <c r="G9" s="120" t="e">
        <f>G8/B16-1</f>
        <v>#REF!</v>
      </c>
      <c r="L9" s="108"/>
      <c r="M9" s="108"/>
    </row>
    <row r="10" spans="1:16" hidden="1" x14ac:dyDescent="0.25">
      <c r="A10" s="54"/>
      <c r="B10" s="106" t="e">
        <f>B2+B3+B6</f>
        <v>#REF!</v>
      </c>
      <c r="D10" s="107" t="e">
        <f>D2+D3/2+D6/2+D7</f>
        <v>#REF!</v>
      </c>
    </row>
    <row r="11" spans="1:16" hidden="1" x14ac:dyDescent="0.25">
      <c r="A11" s="23" t="s">
        <v>75</v>
      </c>
      <c r="B11" s="58">
        <f>1000*1*6800</f>
        <v>6800000</v>
      </c>
      <c r="D11" s="59" t="s">
        <v>77</v>
      </c>
    </row>
    <row r="12" spans="1:16" hidden="1" x14ac:dyDescent="0.25">
      <c r="A12" s="23" t="s">
        <v>76</v>
      </c>
      <c r="B12" s="56">
        <f>200*1*8590</f>
        <v>1718000</v>
      </c>
      <c r="D12" s="59" t="s">
        <v>77</v>
      </c>
    </row>
    <row r="13" spans="1:16" hidden="1" x14ac:dyDescent="0.25">
      <c r="A13" s="26" t="s">
        <v>57</v>
      </c>
      <c r="B13" s="57">
        <f>SUM(B11:B12)</f>
        <v>8518000</v>
      </c>
      <c r="D13" s="52"/>
    </row>
    <row r="14" spans="1:16" x14ac:dyDescent="0.25">
      <c r="A14" s="27"/>
      <c r="B14" s="110"/>
      <c r="C14" s="52"/>
      <c r="F14" s="364" t="s">
        <v>133</v>
      </c>
      <c r="G14" s="364"/>
    </row>
    <row r="15" spans="1:16" x14ac:dyDescent="0.25">
      <c r="A15" s="8"/>
      <c r="B15" s="74">
        <v>2026</v>
      </c>
      <c r="C15" s="73"/>
    </row>
    <row r="16" spans="1:16" x14ac:dyDescent="0.25">
      <c r="A16" s="123" t="s">
        <v>55</v>
      </c>
      <c r="B16" s="124">
        <v>120001384</v>
      </c>
      <c r="C16" s="118"/>
      <c r="D16" s="64"/>
      <c r="G16" s="64"/>
    </row>
    <row r="17" spans="1:7" x14ac:dyDescent="0.25">
      <c r="A17" s="45" t="s">
        <v>142</v>
      </c>
      <c r="B17" s="46" t="e">
        <f>F8</f>
        <v>#REF!</v>
      </c>
      <c r="C17" s="182" t="e">
        <f>F8+F5+F4</f>
        <v>#REF!</v>
      </c>
      <c r="D17" s="181" t="e">
        <f>F8+F5</f>
        <v>#REF!</v>
      </c>
    </row>
    <row r="18" spans="1:7" x14ac:dyDescent="0.25">
      <c r="A18" s="25" t="s">
        <v>151</v>
      </c>
      <c r="B18" s="40" t="e">
        <f>G8</f>
        <v>#REF!</v>
      </c>
      <c r="C18" s="105"/>
    </row>
    <row r="19" spans="1:7" x14ac:dyDescent="0.25">
      <c r="G19">
        <v>5</v>
      </c>
    </row>
    <row r="20" spans="1:7" x14ac:dyDescent="0.25">
      <c r="A20" s="8"/>
      <c r="B20" s="60"/>
      <c r="C20" s="60"/>
      <c r="D20" s="103"/>
      <c r="E20" s="60"/>
    </row>
    <row r="21" spans="1:7" x14ac:dyDescent="0.25">
      <c r="B21" s="16"/>
    </row>
    <row r="22" spans="1:7" x14ac:dyDescent="0.25">
      <c r="B22" s="16"/>
    </row>
    <row r="23" spans="1:7" x14ac:dyDescent="0.25">
      <c r="A23" s="5"/>
      <c r="B23" s="60"/>
    </row>
  </sheetData>
  <mergeCells count="1">
    <mergeCell ref="F14:G14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68E6B-D8CF-4E12-A6AC-B7F2F61E44C0}">
  <sheetPr>
    <tabColor theme="9" tint="0.79998168889431442"/>
  </sheetPr>
  <dimension ref="A1:Y18"/>
  <sheetViews>
    <sheetView topLeftCell="E1" zoomScale="55" zoomScaleNormal="55" workbookViewId="0">
      <pane xSplit="6" topLeftCell="K1" activePane="topRight" state="frozen"/>
      <selection activeCell="E1" sqref="E1"/>
      <selection pane="topRight" activeCell="U3" sqref="U3"/>
    </sheetView>
  </sheetViews>
  <sheetFormatPr defaultRowHeight="15" x14ac:dyDescent="0.25"/>
  <cols>
    <col min="1" max="1" width="4.140625" style="4" hidden="1" customWidth="1"/>
    <col min="2" max="2" width="54.5703125" style="8" hidden="1" customWidth="1"/>
    <col min="3" max="3" width="73.85546875" style="7" hidden="1" customWidth="1"/>
    <col min="4" max="4" width="13.85546875" style="4" hidden="1" customWidth="1"/>
    <col min="5" max="5" width="4.42578125" customWidth="1"/>
    <col min="6" max="6" width="12.42578125" customWidth="1"/>
    <col min="7" max="7" width="28.28515625" style="13" customWidth="1"/>
    <col min="8" max="9" width="19.42578125" style="13" customWidth="1"/>
    <col min="10" max="10" width="28.28515625" style="13" customWidth="1"/>
    <col min="11" max="11" width="16.140625" hidden="1" customWidth="1"/>
    <col min="12" max="12" width="16.140625" customWidth="1"/>
    <col min="13" max="13" width="22.7109375" hidden="1" customWidth="1"/>
    <col min="14" max="14" width="13.85546875" hidden="1" customWidth="1"/>
    <col min="15" max="15" width="13.85546875" customWidth="1"/>
    <col min="16" max="16" width="13.85546875" style="187" hidden="1" customWidth="1"/>
    <col min="17" max="17" width="13.85546875" style="187" customWidth="1"/>
    <col min="18" max="18" width="13.85546875" customWidth="1"/>
    <col min="19" max="20" width="13.85546875" hidden="1" customWidth="1"/>
    <col min="21" max="21" width="20.85546875" customWidth="1"/>
    <col min="22" max="22" width="26.5703125" customWidth="1"/>
    <col min="23" max="23" width="41.28515625" customWidth="1"/>
    <col min="24" max="24" width="51" customWidth="1"/>
    <col min="25" max="25" width="10" style="16" customWidth="1"/>
  </cols>
  <sheetData>
    <row r="1" spans="1:25" ht="60.75" thickTop="1" x14ac:dyDescent="0.25">
      <c r="E1" s="21"/>
      <c r="F1" s="198" t="s">
        <v>90</v>
      </c>
      <c r="G1" s="17" t="s">
        <v>44</v>
      </c>
      <c r="H1" s="18" t="s">
        <v>48</v>
      </c>
      <c r="I1" s="18" t="s">
        <v>70</v>
      </c>
      <c r="J1" s="17" t="s">
        <v>59</v>
      </c>
      <c r="K1" s="204" t="s">
        <v>63</v>
      </c>
      <c r="L1" s="206" t="s">
        <v>168</v>
      </c>
      <c r="M1" s="207" t="s">
        <v>64</v>
      </c>
      <c r="N1" s="207" t="s">
        <v>50</v>
      </c>
      <c r="O1" s="208" t="s">
        <v>50</v>
      </c>
      <c r="P1" s="188" t="s">
        <v>169</v>
      </c>
      <c r="Q1" s="188" t="s">
        <v>220</v>
      </c>
      <c r="R1" s="163" t="s">
        <v>221</v>
      </c>
      <c r="S1" s="163" t="s">
        <v>167</v>
      </c>
      <c r="T1" s="163" t="s">
        <v>170</v>
      </c>
      <c r="U1" s="18" t="s">
        <v>79</v>
      </c>
      <c r="V1" s="18" t="s">
        <v>179</v>
      </c>
      <c r="W1" s="18" t="s">
        <v>66</v>
      </c>
      <c r="X1" s="17" t="s">
        <v>51</v>
      </c>
      <c r="Y1" s="154" t="s">
        <v>181</v>
      </c>
    </row>
    <row r="2" spans="1:25" s="25" customFormat="1" ht="75" x14ac:dyDescent="0.25">
      <c r="A2" s="63"/>
      <c r="B2" s="202"/>
      <c r="C2" s="203"/>
      <c r="D2" s="63"/>
      <c r="E2" s="79">
        <v>1</v>
      </c>
      <c r="F2" s="79" t="s">
        <v>176</v>
      </c>
      <c r="G2" s="115" t="s">
        <v>226</v>
      </c>
      <c r="H2" s="115" t="s">
        <v>72</v>
      </c>
      <c r="I2" s="121" t="s">
        <v>71</v>
      </c>
      <c r="J2" s="126" t="s">
        <v>233</v>
      </c>
      <c r="K2" s="205">
        <v>60</v>
      </c>
      <c r="L2" s="209">
        <v>1</v>
      </c>
      <c r="M2" s="79">
        <v>67</v>
      </c>
      <c r="N2" s="61" t="e">
        <f>K2*#REF!</f>
        <v>#REF!</v>
      </c>
      <c r="O2" s="210">
        <f>L2*4140</f>
        <v>4140</v>
      </c>
      <c r="P2" s="189">
        <v>60</v>
      </c>
      <c r="Q2" s="61">
        <f>P2*4140</f>
        <v>248400</v>
      </c>
      <c r="R2" s="61">
        <f>O2-Q2</f>
        <v>-244260</v>
      </c>
      <c r="S2" s="78">
        <v>0</v>
      </c>
      <c r="T2" s="61">
        <f>R2+S2</f>
        <v>-244260</v>
      </c>
      <c r="U2" s="62" t="s">
        <v>171</v>
      </c>
      <c r="V2" s="62" t="s">
        <v>145</v>
      </c>
      <c r="W2" s="127"/>
      <c r="X2" s="126"/>
      <c r="Y2" s="196" t="s">
        <v>160</v>
      </c>
    </row>
    <row r="3" spans="1:25" s="214" customFormat="1" ht="30" x14ac:dyDescent="0.25">
      <c r="A3" s="211"/>
      <c r="B3" s="212"/>
      <c r="C3" s="213"/>
      <c r="D3" s="211"/>
      <c r="E3" s="194">
        <v>24</v>
      </c>
      <c r="F3" s="194" t="s">
        <v>178</v>
      </c>
      <c r="G3" s="216" t="s">
        <v>227</v>
      </c>
      <c r="H3" s="216" t="s">
        <v>49</v>
      </c>
      <c r="I3" s="134"/>
      <c r="J3" s="216" t="s">
        <v>153</v>
      </c>
      <c r="K3" s="251">
        <v>16</v>
      </c>
      <c r="L3" s="252">
        <v>1</v>
      </c>
      <c r="M3" s="165"/>
      <c r="N3" s="253" t="e">
        <f>K3*#REF!</f>
        <v>#REF!</v>
      </c>
      <c r="O3" s="254"/>
      <c r="P3" s="255"/>
      <c r="Q3" s="339"/>
      <c r="R3" s="339"/>
      <c r="S3" s="165"/>
      <c r="T3" s="165"/>
      <c r="U3" s="165"/>
      <c r="V3" s="194" t="s">
        <v>145</v>
      </c>
      <c r="W3" s="165"/>
      <c r="X3" s="165"/>
      <c r="Y3" s="256" t="s">
        <v>161</v>
      </c>
    </row>
    <row r="4" spans="1:25" s="25" customFormat="1" ht="45.75" thickBot="1" x14ac:dyDescent="0.3">
      <c r="A4" s="63"/>
      <c r="B4" s="202"/>
      <c r="C4" s="203"/>
      <c r="D4" s="63"/>
      <c r="E4" s="79">
        <v>15</v>
      </c>
      <c r="F4" s="79" t="s">
        <v>176</v>
      </c>
      <c r="G4" s="126" t="s">
        <v>228</v>
      </c>
      <c r="H4" s="126" t="s">
        <v>49</v>
      </c>
      <c r="I4" s="121" t="s">
        <v>71</v>
      </c>
      <c r="J4" s="126" t="s">
        <v>172</v>
      </c>
      <c r="K4" s="217"/>
      <c r="L4" s="218">
        <v>1</v>
      </c>
      <c r="M4" s="219"/>
      <c r="N4" s="220"/>
      <c r="O4" s="221">
        <f>L4*4140</f>
        <v>4140</v>
      </c>
      <c r="P4" s="189">
        <v>60</v>
      </c>
      <c r="Q4" s="61">
        <f>P4*4140</f>
        <v>248400</v>
      </c>
      <c r="R4" s="166">
        <f>O4-Q4</f>
        <v>-244260</v>
      </c>
      <c r="S4" s="79">
        <v>0</v>
      </c>
      <c r="T4" s="61">
        <f>R4+S4</f>
        <v>-244260</v>
      </c>
      <c r="U4" s="115"/>
      <c r="V4" s="79" t="s">
        <v>180</v>
      </c>
      <c r="W4" s="115"/>
      <c r="X4" s="115"/>
      <c r="Y4" s="223" t="s">
        <v>160</v>
      </c>
    </row>
    <row r="5" spans="1:25" ht="15.75" thickTop="1" x14ac:dyDescent="0.25">
      <c r="O5" s="190">
        <f>SUM(O2:O4)</f>
        <v>8280</v>
      </c>
      <c r="Q5" s="190">
        <f>SUM(Q2:Q4)</f>
        <v>496800</v>
      </c>
      <c r="R5" s="190">
        <f>SUM(R2:R4)</f>
        <v>-488520</v>
      </c>
      <c r="S5" s="35">
        <f>SUM(S2:S4)</f>
        <v>0</v>
      </c>
      <c r="T5" s="35">
        <f>SUM(T2:T4)</f>
        <v>-488520</v>
      </c>
      <c r="U5" s="340"/>
    </row>
    <row r="6" spans="1:25" x14ac:dyDescent="0.25">
      <c r="G6" s="14" t="s">
        <v>129</v>
      </c>
      <c r="O6" s="64"/>
    </row>
    <row r="7" spans="1:25" ht="30" x14ac:dyDescent="0.25">
      <c r="G7" s="222" t="s">
        <v>184</v>
      </c>
      <c r="H7" s="28"/>
      <c r="J7" s="15">
        <v>9</v>
      </c>
    </row>
    <row r="8" spans="1:25" x14ac:dyDescent="0.25">
      <c r="G8" s="13" t="s">
        <v>162</v>
      </c>
      <c r="J8" s="155">
        <f>(SUMIF(Y2:Y4,"да",O2:O4))</f>
        <v>8280</v>
      </c>
    </row>
    <row r="10" spans="1:25" x14ac:dyDescent="0.25">
      <c r="G10" s="14" t="s">
        <v>130</v>
      </c>
    </row>
    <row r="11" spans="1:25" x14ac:dyDescent="0.25">
      <c r="G11" s="222" t="s">
        <v>182</v>
      </c>
      <c r="J11" s="15">
        <v>6</v>
      </c>
    </row>
    <row r="12" spans="1:25" x14ac:dyDescent="0.25">
      <c r="G12" s="13" t="s">
        <v>162</v>
      </c>
      <c r="J12" s="155">
        <f>(SUMIF(Y2:Y4,"нет",O2:O4))</f>
        <v>0</v>
      </c>
      <c r="W12" t="s">
        <v>157</v>
      </c>
    </row>
    <row r="14" spans="1:25" x14ac:dyDescent="0.25">
      <c r="G14" s="14" t="s">
        <v>57</v>
      </c>
    </row>
    <row r="15" spans="1:25" x14ac:dyDescent="0.25">
      <c r="G15" s="13" t="s">
        <v>183</v>
      </c>
      <c r="J15" s="15">
        <f>J7+J11</f>
        <v>15</v>
      </c>
    </row>
    <row r="16" spans="1:25" x14ac:dyDescent="0.25">
      <c r="G16" s="13" t="s">
        <v>162</v>
      </c>
      <c r="J16" s="155">
        <f>J8+J12</f>
        <v>8280</v>
      </c>
    </row>
    <row r="18" spans="15:18" x14ac:dyDescent="0.25">
      <c r="O18" s="294"/>
      <c r="P18" s="294"/>
      <c r="Q18" s="294"/>
      <c r="R18" s="294"/>
    </row>
  </sheetData>
  <autoFilter ref="H1:H17" xr:uid="{D8568E6B-D8CF-4E12-A6AC-B7F2F61E44C0}"/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52784-E7F2-42F3-9E04-A8FD148579BB}">
  <sheetPr>
    <tabColor theme="9" tint="0.79998168889431442"/>
  </sheetPr>
  <dimension ref="A1:P31"/>
  <sheetViews>
    <sheetView zoomScale="86" zoomScaleNormal="86" workbookViewId="0">
      <pane xSplit="8" topLeftCell="I1" activePane="topRight" state="frozen"/>
      <selection activeCell="A13" sqref="A13"/>
      <selection pane="topRight" activeCell="F27" sqref="F27"/>
    </sheetView>
  </sheetViews>
  <sheetFormatPr defaultRowHeight="15" x14ac:dyDescent="0.25"/>
  <cols>
    <col min="1" max="1" width="6.140625" customWidth="1"/>
    <col min="2" max="2" width="16.7109375" customWidth="1"/>
    <col min="3" max="3" width="11.85546875" customWidth="1"/>
    <col min="4" max="4" width="44.5703125" customWidth="1"/>
    <col min="5" max="5" width="18.42578125" customWidth="1"/>
    <col min="6" max="6" width="21.85546875" customWidth="1"/>
    <col min="7" max="7" width="15.85546875" customWidth="1"/>
    <col min="8" max="8" width="15.5703125" customWidth="1"/>
    <col min="9" max="9" width="19" customWidth="1"/>
    <col min="10" max="10" width="14.140625" bestFit="1" customWidth="1"/>
    <col min="11" max="12" width="14.140625" customWidth="1"/>
    <col min="13" max="13" width="20.85546875" customWidth="1"/>
    <col min="15" max="15" width="14.7109375" customWidth="1"/>
    <col min="16" max="16" width="18.5703125" customWidth="1"/>
  </cols>
  <sheetData>
    <row r="1" spans="1:16" hidden="1" x14ac:dyDescent="0.25">
      <c r="A1" s="5" t="s">
        <v>150</v>
      </c>
      <c r="B1" s="5"/>
      <c r="C1" s="5"/>
    </row>
    <row r="2" spans="1:16" ht="21" hidden="1" customHeight="1" x14ac:dyDescent="0.25">
      <c r="A2" s="18"/>
      <c r="B2" s="197"/>
      <c r="C2" s="197"/>
      <c r="D2" s="18" t="s">
        <v>85</v>
      </c>
      <c r="E2" s="18" t="s">
        <v>88</v>
      </c>
      <c r="F2" s="18" t="s">
        <v>89</v>
      </c>
      <c r="G2" s="197"/>
      <c r="H2" s="18" t="s">
        <v>86</v>
      </c>
      <c r="I2" s="18" t="s">
        <v>90</v>
      </c>
      <c r="J2" s="18" t="s">
        <v>95</v>
      </c>
      <c r="K2" s="81"/>
      <c r="L2" s="81"/>
      <c r="M2" s="81"/>
      <c r="N2" s="18" t="s">
        <v>87</v>
      </c>
      <c r="O2" s="18" t="s">
        <v>100</v>
      </c>
      <c r="P2" s="18" t="s">
        <v>91</v>
      </c>
    </row>
    <row r="3" spans="1:16" ht="39" hidden="1" customHeight="1" x14ac:dyDescent="0.25">
      <c r="A3" s="117">
        <v>1</v>
      </c>
      <c r="B3" s="117"/>
      <c r="C3" s="117"/>
      <c r="D3" s="126" t="s">
        <v>60</v>
      </c>
      <c r="E3" s="126" t="s">
        <v>45</v>
      </c>
      <c r="F3" s="126" t="s">
        <v>45</v>
      </c>
      <c r="G3" s="126"/>
      <c r="H3" s="126" t="s">
        <v>72</v>
      </c>
      <c r="I3" s="79" t="s">
        <v>149</v>
      </c>
      <c r="J3" s="136">
        <v>160000</v>
      </c>
      <c r="K3" s="338"/>
      <c r="L3" s="338"/>
      <c r="N3" s="117">
        <v>9</v>
      </c>
      <c r="O3" s="117">
        <v>5</v>
      </c>
      <c r="P3" s="117" t="s">
        <v>92</v>
      </c>
    </row>
    <row r="4" spans="1:16" ht="39" hidden="1" customHeight="1" x14ac:dyDescent="0.25">
      <c r="A4" s="117">
        <v>2</v>
      </c>
      <c r="B4" s="117"/>
      <c r="C4" s="117"/>
      <c r="D4" s="126" t="s">
        <v>61</v>
      </c>
      <c r="E4" s="126" t="s">
        <v>46</v>
      </c>
      <c r="F4" s="126" t="s">
        <v>46</v>
      </c>
      <c r="G4" s="126"/>
      <c r="H4" s="32" t="s">
        <v>49</v>
      </c>
      <c r="I4" s="79" t="s">
        <v>149</v>
      </c>
      <c r="J4" s="136">
        <v>160000</v>
      </c>
      <c r="K4" s="338"/>
      <c r="L4" s="338"/>
      <c r="N4" s="117">
        <v>11</v>
      </c>
      <c r="O4" s="117">
        <v>6</v>
      </c>
      <c r="P4" s="117" t="s">
        <v>92</v>
      </c>
    </row>
    <row r="5" spans="1:16" ht="39" hidden="1" customHeight="1" x14ac:dyDescent="0.25">
      <c r="A5" s="117">
        <v>3</v>
      </c>
      <c r="B5" s="117"/>
      <c r="C5" s="117"/>
      <c r="D5" s="126" t="s">
        <v>62</v>
      </c>
      <c r="E5" s="126" t="s">
        <v>47</v>
      </c>
      <c r="F5" s="126" t="s">
        <v>47</v>
      </c>
      <c r="G5" s="126"/>
      <c r="H5" s="32" t="s">
        <v>49</v>
      </c>
      <c r="I5" s="79" t="s">
        <v>149</v>
      </c>
      <c r="J5" s="136">
        <v>160000</v>
      </c>
      <c r="K5" s="338"/>
      <c r="L5" s="338"/>
      <c r="N5" s="117">
        <v>10</v>
      </c>
      <c r="O5" s="117">
        <v>5</v>
      </c>
      <c r="P5" s="117" t="s">
        <v>92</v>
      </c>
    </row>
    <row r="6" spans="1:16" ht="39" hidden="1" customHeight="1" x14ac:dyDescent="0.25">
      <c r="A6" s="117">
        <v>4</v>
      </c>
      <c r="B6" s="117"/>
      <c r="C6" s="117"/>
      <c r="D6" s="126" t="s">
        <v>80</v>
      </c>
      <c r="E6" s="126" t="s">
        <v>47</v>
      </c>
      <c r="F6" s="126" t="s">
        <v>47</v>
      </c>
      <c r="G6" s="126"/>
      <c r="H6" s="32" t="s">
        <v>49</v>
      </c>
      <c r="I6" s="65" t="s">
        <v>94</v>
      </c>
      <c r="J6" s="136">
        <v>300000</v>
      </c>
      <c r="K6" s="338"/>
      <c r="L6" s="338"/>
      <c r="N6" s="117">
        <v>7</v>
      </c>
      <c r="O6" s="117">
        <v>4</v>
      </c>
      <c r="P6" s="117" t="s">
        <v>96</v>
      </c>
    </row>
    <row r="7" spans="1:16" ht="39" hidden="1" customHeight="1" x14ac:dyDescent="0.25">
      <c r="A7" s="117">
        <v>5</v>
      </c>
      <c r="B7" s="117"/>
      <c r="C7" s="117"/>
      <c r="D7" s="126" t="s">
        <v>81</v>
      </c>
      <c r="E7" s="126" t="s">
        <v>65</v>
      </c>
      <c r="F7" s="126" t="s">
        <v>65</v>
      </c>
      <c r="G7" s="126"/>
      <c r="H7" s="32" t="s">
        <v>49</v>
      </c>
      <c r="I7" s="79" t="s">
        <v>149</v>
      </c>
      <c r="J7" s="136">
        <v>160000</v>
      </c>
      <c r="K7" s="338"/>
      <c r="L7" s="338"/>
      <c r="N7" s="117">
        <v>11</v>
      </c>
      <c r="O7" s="117">
        <v>6</v>
      </c>
      <c r="P7" s="117" t="s">
        <v>92</v>
      </c>
    </row>
    <row r="8" spans="1:16" ht="45" hidden="1" x14ac:dyDescent="0.25">
      <c r="A8" s="117">
        <v>6</v>
      </c>
      <c r="B8" s="117"/>
      <c r="C8" s="117"/>
      <c r="D8" s="126" t="s">
        <v>97</v>
      </c>
      <c r="E8" s="126" t="s">
        <v>99</v>
      </c>
      <c r="F8" s="126" t="s">
        <v>98</v>
      </c>
      <c r="G8" s="126"/>
      <c r="H8" s="126" t="s">
        <v>49</v>
      </c>
      <c r="I8" s="79" t="s">
        <v>149</v>
      </c>
      <c r="J8" s="136">
        <v>160000</v>
      </c>
      <c r="K8" s="338"/>
      <c r="L8" s="338"/>
      <c r="N8" s="117">
        <v>6</v>
      </c>
      <c r="O8" s="117">
        <v>3</v>
      </c>
      <c r="P8" s="117" t="s">
        <v>96</v>
      </c>
    </row>
    <row r="9" spans="1:16" ht="30" hidden="1" x14ac:dyDescent="0.25">
      <c r="A9" s="117">
        <v>7</v>
      </c>
      <c r="B9" s="117"/>
      <c r="C9" s="117"/>
      <c r="D9" s="126" t="s">
        <v>101</v>
      </c>
      <c r="E9" s="126" t="s">
        <v>102</v>
      </c>
      <c r="F9" s="126" t="s">
        <v>103</v>
      </c>
      <c r="G9" s="126"/>
      <c r="H9" s="126" t="s">
        <v>49</v>
      </c>
      <c r="I9" s="79" t="s">
        <v>149</v>
      </c>
      <c r="J9" s="136">
        <v>160000</v>
      </c>
      <c r="K9" s="338"/>
      <c r="L9" s="338"/>
      <c r="N9" s="117">
        <v>6</v>
      </c>
      <c r="O9" s="117">
        <v>3</v>
      </c>
      <c r="P9" s="117" t="s">
        <v>96</v>
      </c>
    </row>
    <row r="10" spans="1:16" ht="45" hidden="1" x14ac:dyDescent="0.25">
      <c r="A10" s="117">
        <v>8</v>
      </c>
      <c r="B10" s="117"/>
      <c r="C10" s="117"/>
      <c r="D10" s="126" t="s">
        <v>104</v>
      </c>
      <c r="E10" s="137" t="s">
        <v>107</v>
      </c>
      <c r="F10" s="126" t="s">
        <v>105</v>
      </c>
      <c r="G10" s="126"/>
      <c r="H10" s="126" t="s">
        <v>49</v>
      </c>
      <c r="I10" s="79" t="s">
        <v>149</v>
      </c>
      <c r="J10" s="136">
        <v>160000</v>
      </c>
      <c r="K10" s="338"/>
      <c r="L10" s="338"/>
      <c r="N10" s="117">
        <v>8</v>
      </c>
      <c r="O10" s="117">
        <v>4</v>
      </c>
      <c r="P10" s="117" t="s">
        <v>96</v>
      </c>
    </row>
    <row r="11" spans="1:16" ht="60" hidden="1" x14ac:dyDescent="0.25">
      <c r="A11" s="117">
        <v>9</v>
      </c>
      <c r="B11" s="117"/>
      <c r="C11" s="117"/>
      <c r="D11" s="126" t="s">
        <v>106</v>
      </c>
      <c r="E11" s="126" t="s">
        <v>108</v>
      </c>
      <c r="F11" s="126" t="s">
        <v>98</v>
      </c>
      <c r="G11" s="126"/>
      <c r="H11" s="126" t="s">
        <v>49</v>
      </c>
      <c r="I11" s="79" t="s">
        <v>149</v>
      </c>
      <c r="J11" s="136">
        <v>160000</v>
      </c>
      <c r="K11" s="338"/>
      <c r="L11" s="338"/>
      <c r="N11" s="117">
        <v>7</v>
      </c>
      <c r="O11" s="117">
        <v>4</v>
      </c>
      <c r="P11" s="117" t="s">
        <v>96</v>
      </c>
    </row>
    <row r="12" spans="1:16" ht="60" hidden="1" x14ac:dyDescent="0.25">
      <c r="A12" s="117">
        <v>10</v>
      </c>
      <c r="B12" s="117"/>
      <c r="C12" s="117"/>
      <c r="D12" s="126" t="s">
        <v>109</v>
      </c>
      <c r="E12" s="126" t="s">
        <v>108</v>
      </c>
      <c r="F12" s="126" t="s">
        <v>98</v>
      </c>
      <c r="G12" s="126"/>
      <c r="H12" s="126" t="s">
        <v>49</v>
      </c>
      <c r="I12" s="79" t="s">
        <v>149</v>
      </c>
      <c r="J12" s="136">
        <v>160000</v>
      </c>
      <c r="K12" s="338"/>
      <c r="L12" s="338"/>
      <c r="N12" s="117">
        <v>8</v>
      </c>
      <c r="O12" s="117">
        <v>4</v>
      </c>
      <c r="P12" s="117" t="s">
        <v>96</v>
      </c>
    </row>
    <row r="13" spans="1:16" x14ac:dyDescent="0.25">
      <c r="J13" s="131"/>
      <c r="K13" s="131"/>
      <c r="L13" s="131"/>
    </row>
    <row r="14" spans="1:16" ht="30" x14ac:dyDescent="0.25">
      <c r="A14" s="152"/>
      <c r="B14" s="197" t="s">
        <v>185</v>
      </c>
      <c r="C14" s="197" t="s">
        <v>186</v>
      </c>
      <c r="D14" s="152" t="s">
        <v>85</v>
      </c>
      <c r="E14" s="152" t="s">
        <v>88</v>
      </c>
      <c r="F14" s="152" t="s">
        <v>89</v>
      </c>
      <c r="G14" s="197" t="s">
        <v>188</v>
      </c>
      <c r="H14" s="152" t="s">
        <v>86</v>
      </c>
      <c r="I14" s="152" t="s">
        <v>208</v>
      </c>
      <c r="J14" s="152" t="s">
        <v>190</v>
      </c>
      <c r="K14" s="265" t="s">
        <v>220</v>
      </c>
      <c r="L14" s="265" t="s">
        <v>221</v>
      </c>
      <c r="M14" s="153" t="s">
        <v>189</v>
      </c>
      <c r="N14" s="152" t="s">
        <v>87</v>
      </c>
      <c r="O14" s="152" t="s">
        <v>100</v>
      </c>
      <c r="P14" s="152" t="s">
        <v>91</v>
      </c>
    </row>
    <row r="15" spans="1:16" s="123" customFormat="1" ht="45" x14ac:dyDescent="0.25">
      <c r="A15" s="38">
        <v>1</v>
      </c>
      <c r="B15" s="38" t="s">
        <v>177</v>
      </c>
      <c r="C15" s="38" t="s">
        <v>187</v>
      </c>
      <c r="D15" s="130" t="s">
        <v>60</v>
      </c>
      <c r="E15" s="130" t="s">
        <v>226</v>
      </c>
      <c r="F15" s="130" t="s">
        <v>226</v>
      </c>
      <c r="G15" s="130" t="s">
        <v>226</v>
      </c>
      <c r="H15" s="130" t="s">
        <v>72</v>
      </c>
      <c r="I15" s="39" t="s">
        <v>149</v>
      </c>
      <c r="J15" s="224">
        <v>160000</v>
      </c>
      <c r="K15" s="224">
        <v>48000</v>
      </c>
      <c r="L15" s="224">
        <f>J15-K15</f>
        <v>112000</v>
      </c>
      <c r="M15" s="129" t="s">
        <v>205</v>
      </c>
      <c r="N15" s="38">
        <v>9</v>
      </c>
      <c r="O15" s="38">
        <v>5</v>
      </c>
      <c r="P15" s="38" t="s">
        <v>92</v>
      </c>
    </row>
    <row r="16" spans="1:16" s="306" customFormat="1" x14ac:dyDescent="0.25">
      <c r="A16" s="117">
        <v>10</v>
      </c>
      <c r="B16" s="117" t="s">
        <v>176</v>
      </c>
      <c r="C16" s="117" t="s">
        <v>187</v>
      </c>
      <c r="D16" s="126" t="s">
        <v>109</v>
      </c>
      <c r="E16" s="126" t="s">
        <v>228</v>
      </c>
      <c r="F16" s="126" t="s">
        <v>228</v>
      </c>
      <c r="G16" s="126" t="s">
        <v>228</v>
      </c>
      <c r="H16" s="126" t="s">
        <v>49</v>
      </c>
      <c r="I16" s="79" t="s">
        <v>149</v>
      </c>
      <c r="J16" s="305">
        <v>160000</v>
      </c>
      <c r="K16" s="305">
        <f t="shared" ref="K16" si="0">J16</f>
        <v>160000</v>
      </c>
      <c r="L16" s="305">
        <v>0</v>
      </c>
      <c r="M16" s="115" t="s">
        <v>206</v>
      </c>
      <c r="N16" s="117">
        <v>8</v>
      </c>
      <c r="O16" s="117">
        <v>4</v>
      </c>
      <c r="P16" s="117" t="s">
        <v>96</v>
      </c>
    </row>
    <row r="17" spans="1:16" s="308" customFormat="1" x14ac:dyDescent="0.25">
      <c r="A17" s="215">
        <v>23</v>
      </c>
      <c r="B17" s="215" t="s">
        <v>178</v>
      </c>
      <c r="C17" s="215" t="s">
        <v>187</v>
      </c>
      <c r="D17" s="216"/>
      <c r="E17" s="216" t="s">
        <v>227</v>
      </c>
      <c r="F17" s="216" t="s">
        <v>227</v>
      </c>
      <c r="G17" s="216" t="s">
        <v>227</v>
      </c>
      <c r="H17" s="216" t="s">
        <v>225</v>
      </c>
      <c r="I17" s="194" t="s">
        <v>149</v>
      </c>
      <c r="J17" s="307">
        <v>0</v>
      </c>
      <c r="K17" s="307"/>
      <c r="L17" s="307"/>
      <c r="M17" s="165" t="s">
        <v>204</v>
      </c>
      <c r="N17" s="165"/>
      <c r="O17" s="165"/>
      <c r="P17" s="165"/>
    </row>
    <row r="18" spans="1:16" x14ac:dyDescent="0.25">
      <c r="J18" s="138">
        <f>SUM(J15:J17)</f>
        <v>320000</v>
      </c>
      <c r="K18" s="138">
        <f>SUM(K15:K17)</f>
        <v>208000</v>
      </c>
      <c r="L18" s="138">
        <f>SUM(L15:L17)</f>
        <v>112000</v>
      </c>
    </row>
    <row r="19" spans="1:16" x14ac:dyDescent="0.25">
      <c r="B19" s="285" t="s">
        <v>203</v>
      </c>
      <c r="C19" s="286"/>
      <c r="D19" s="286"/>
      <c r="E19" s="286"/>
      <c r="F19" s="286"/>
      <c r="G19" s="286"/>
      <c r="J19" s="138"/>
      <c r="K19" s="138"/>
      <c r="L19" s="138"/>
    </row>
    <row r="20" spans="1:16" x14ac:dyDescent="0.25">
      <c r="B20" s="36" t="s">
        <v>202</v>
      </c>
      <c r="C20" s="34" t="s">
        <v>84</v>
      </c>
      <c r="D20" s="34" t="s">
        <v>114</v>
      </c>
      <c r="E20" s="34" t="s">
        <v>215</v>
      </c>
      <c r="F20" s="34" t="s">
        <v>204</v>
      </c>
      <c r="G20" s="276" t="s">
        <v>205</v>
      </c>
      <c r="H20" s="276" t="s">
        <v>206</v>
      </c>
      <c r="I20" s="291" t="s">
        <v>214</v>
      </c>
    </row>
    <row r="21" spans="1:16" x14ac:dyDescent="0.25">
      <c r="B21" s="21" t="s">
        <v>94</v>
      </c>
      <c r="C21" s="287">
        <f>SUMIFS(J15:J16,I15:I16,"*Разработка*",C15:C16,"*МЦ*")</f>
        <v>0</v>
      </c>
      <c r="D21" s="288">
        <v>6</v>
      </c>
      <c r="E21" s="290">
        <f>SUMIFS(J15:J16,I15:I16,"*Разработка*",M15:M16,"*Определен формат*")/300000</f>
        <v>0</v>
      </c>
      <c r="F21" s="290">
        <f>SUMIFS(J15:J16,I15:I16,"*Разработка*",M15:M16,"*В работе*")/300000</f>
        <v>0</v>
      </c>
      <c r="G21" s="290">
        <f>SUMIFS(J15:J16,I15:I16,"*Разработка*",M15:M16,"*Реализовано нами*")/300000</f>
        <v>0</v>
      </c>
      <c r="H21" s="290">
        <f>SUMIFS(J15:J16,I15:I16,"*Разработка*",M15:M16,"*Утверждено вузом*")/300000</f>
        <v>0</v>
      </c>
      <c r="I21" s="284">
        <f>D21-G21</f>
        <v>6</v>
      </c>
    </row>
    <row r="22" spans="1:16" x14ac:dyDescent="0.25">
      <c r="B22" s="21" t="s">
        <v>149</v>
      </c>
      <c r="C22" s="287">
        <f>SUMIFS(J15:J16,I15:I16,"*Актуализация*",C15:C16,"*МЦ*")</f>
        <v>320000</v>
      </c>
      <c r="D22" s="288">
        <v>4</v>
      </c>
      <c r="E22" s="290">
        <f>SUMIFS(J15:J16,I15:I16,"*Актуализация*",M15:M16,"*Определен формат*")/160000</f>
        <v>0</v>
      </c>
      <c r="F22" s="290">
        <v>9</v>
      </c>
      <c r="G22" s="290">
        <f>SUMIFS(J15:J16,I15:I16,"*Актуализация*",M15:M16,"*Реализовано нами*")/160000</f>
        <v>1</v>
      </c>
      <c r="H22" s="290">
        <f>SUMIFS(J15:J16,I15:I16,"*Актуализация*",M15:M16,"*Утверждено вузом*")/160000</f>
        <v>1</v>
      </c>
      <c r="I22" s="284">
        <f>D22-G22</f>
        <v>3</v>
      </c>
    </row>
    <row r="23" spans="1:16" x14ac:dyDescent="0.25">
      <c r="B23" s="21" t="s">
        <v>156</v>
      </c>
      <c r="C23" s="287">
        <f>SUMIFS(J15:J16,I15:I16,"*Экспертиза*",C15:C16,"*МЦ*")</f>
        <v>0</v>
      </c>
      <c r="D23" s="288">
        <v>5</v>
      </c>
      <c r="E23" s="290">
        <v>9</v>
      </c>
      <c r="F23" s="290">
        <v>9</v>
      </c>
      <c r="G23" s="290">
        <v>9</v>
      </c>
      <c r="H23" s="290">
        <v>9</v>
      </c>
      <c r="I23" s="284">
        <f>D23-G23</f>
        <v>-4</v>
      </c>
    </row>
    <row r="24" spans="1:16" x14ac:dyDescent="0.25">
      <c r="C24" s="310">
        <f t="shared" ref="C24:I24" si="1">SUM(C21:C23)</f>
        <v>320000</v>
      </c>
      <c r="D24" s="289">
        <f t="shared" si="1"/>
        <v>15</v>
      </c>
      <c r="E24" s="295">
        <f t="shared" si="1"/>
        <v>9</v>
      </c>
      <c r="F24" s="295">
        <f t="shared" si="1"/>
        <v>18</v>
      </c>
      <c r="G24" s="295">
        <f t="shared" si="1"/>
        <v>10</v>
      </c>
      <c r="H24" s="295">
        <f t="shared" si="1"/>
        <v>10</v>
      </c>
      <c r="I24" s="292">
        <f t="shared" si="1"/>
        <v>5</v>
      </c>
    </row>
    <row r="25" spans="1:16" x14ac:dyDescent="0.25">
      <c r="D25" s="289"/>
      <c r="H25" s="293"/>
    </row>
    <row r="26" spans="1:16" x14ac:dyDescent="0.25">
      <c r="B26" s="285" t="s">
        <v>158</v>
      </c>
      <c r="C26" s="286"/>
      <c r="D26" s="286"/>
    </row>
    <row r="27" spans="1:16" x14ac:dyDescent="0.25">
      <c r="B27" s="36" t="s">
        <v>202</v>
      </c>
      <c r="C27" s="34" t="s">
        <v>84</v>
      </c>
      <c r="D27" s="34" t="s">
        <v>114</v>
      </c>
    </row>
    <row r="28" spans="1:16" x14ac:dyDescent="0.25">
      <c r="B28" s="21" t="s">
        <v>94</v>
      </c>
      <c r="C28" s="287" t="e">
        <f>SUMIFS(J16:J23,I16:I19,"*Разработка*",C16:C23,"*ТОП ИТ*")</f>
        <v>#VALUE!</v>
      </c>
      <c r="D28" s="288" t="e">
        <f>C28/300000</f>
        <v>#VALUE!</v>
      </c>
    </row>
    <row r="29" spans="1:16" x14ac:dyDescent="0.25">
      <c r="B29" s="21" t="s">
        <v>149</v>
      </c>
      <c r="C29" s="287" t="e">
        <f>SUMIFS(J16:J23,I16:I19,"*Актуализация*",C16:C23,"*ТОП ИТ*")</f>
        <v>#VALUE!</v>
      </c>
      <c r="D29" s="288" t="e">
        <f>C29/160000</f>
        <v>#VALUE!</v>
      </c>
    </row>
    <row r="30" spans="1:16" x14ac:dyDescent="0.25">
      <c r="B30" s="21" t="s">
        <v>156</v>
      </c>
      <c r="C30" s="287" t="e">
        <f>SUMIFS(J16:J23,I16:I19,"*Экспертиза*",C16:C23,"*ТОП ИТ*")</f>
        <v>#VALUE!</v>
      </c>
      <c r="D30" s="288" t="e">
        <f>C30/55000</f>
        <v>#VALUE!</v>
      </c>
    </row>
    <row r="31" spans="1:16" x14ac:dyDescent="0.25">
      <c r="D31" s="289" t="e">
        <f>SUM(D28:D30)</f>
        <v>#VALUE!</v>
      </c>
    </row>
  </sheetData>
  <autoFilter ref="A14:Q24" xr:uid="{6F952784-E7F2-42F3-9E04-A8FD148579BB}"/>
  <dataValidations count="1">
    <dataValidation type="list" allowBlank="1" showInputMessage="1" showErrorMessage="1" sqref="M15:M17" xr:uid="{7D59C677-B1B8-4311-A5C3-901E327E7823}">
      <formula1>"Определен формат, В работе, Реализовано нами, Утверждено вузом"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F56C8-FED2-41C3-9F53-F19D398CC488}">
  <sheetPr>
    <tabColor theme="5" tint="0.79998168889431442"/>
  </sheetPr>
  <dimension ref="A1:I23"/>
  <sheetViews>
    <sheetView zoomScale="85" zoomScaleNormal="85" workbookViewId="0">
      <selection activeCell="H3" sqref="H3"/>
    </sheetView>
  </sheetViews>
  <sheetFormatPr defaultRowHeight="15" x14ac:dyDescent="0.25"/>
  <cols>
    <col min="1" max="1" width="57.7109375" customWidth="1"/>
    <col min="2" max="2" width="23" customWidth="1"/>
    <col min="3" max="3" width="18.5703125" customWidth="1"/>
    <col min="4" max="4" width="35.5703125" customWidth="1"/>
    <col min="5" max="7" width="16.28515625" customWidth="1"/>
    <col min="8" max="8" width="12.5703125" bestFit="1" customWidth="1"/>
  </cols>
  <sheetData>
    <row r="1" spans="1:8" ht="28.5" x14ac:dyDescent="0.25">
      <c r="A1" s="89" t="s">
        <v>110</v>
      </c>
      <c r="B1" s="90" t="s">
        <v>154</v>
      </c>
      <c r="C1" s="90" t="s">
        <v>114</v>
      </c>
      <c r="D1" s="91" t="s">
        <v>113</v>
      </c>
      <c r="E1" s="90" t="s">
        <v>100</v>
      </c>
      <c r="F1" s="90" t="s">
        <v>91</v>
      </c>
      <c r="G1" s="90" t="s">
        <v>90</v>
      </c>
      <c r="H1" s="90" t="s">
        <v>95</v>
      </c>
    </row>
    <row r="2" spans="1:8" ht="33" customHeight="1" x14ac:dyDescent="0.25">
      <c r="A2" s="82" t="s">
        <v>111</v>
      </c>
      <c r="B2" s="82"/>
      <c r="C2" s="83"/>
      <c r="D2" s="365"/>
      <c r="E2" s="366">
        <v>1</v>
      </c>
      <c r="F2" s="366" t="s">
        <v>96</v>
      </c>
      <c r="G2" s="366" t="s">
        <v>93</v>
      </c>
      <c r="H2" s="141"/>
    </row>
    <row r="3" spans="1:8" ht="33" customHeight="1" x14ac:dyDescent="0.25">
      <c r="A3" s="84" t="s">
        <v>123</v>
      </c>
      <c r="B3" s="84"/>
      <c r="C3" s="85">
        <v>1</v>
      </c>
      <c r="D3" s="365"/>
      <c r="E3" s="366"/>
      <c r="F3" s="366"/>
      <c r="G3" s="366"/>
      <c r="H3" s="141">
        <v>626110</v>
      </c>
    </row>
    <row r="4" spans="1:8" ht="33" customHeight="1" x14ac:dyDescent="0.25">
      <c r="A4" s="84" t="s">
        <v>122</v>
      </c>
      <c r="B4" s="84"/>
      <c r="C4" s="85">
        <v>1</v>
      </c>
      <c r="D4" s="365"/>
      <c r="E4" s="366"/>
      <c r="F4" s="366"/>
      <c r="G4" s="366"/>
      <c r="H4" s="141">
        <v>626110</v>
      </c>
    </row>
    <row r="5" spans="1:8" ht="33" customHeight="1" x14ac:dyDescent="0.25">
      <c r="A5" s="84" t="s">
        <v>121</v>
      </c>
      <c r="B5" s="84"/>
      <c r="C5" s="85">
        <v>1</v>
      </c>
      <c r="D5" s="365"/>
      <c r="E5" s="366"/>
      <c r="F5" s="366"/>
      <c r="G5" s="366"/>
      <c r="H5" s="141">
        <v>626110</v>
      </c>
    </row>
    <row r="6" spans="1:8" ht="33" customHeight="1" x14ac:dyDescent="0.25">
      <c r="A6" s="86" t="s">
        <v>112</v>
      </c>
      <c r="B6" s="86"/>
      <c r="C6" s="87"/>
      <c r="D6" s="365"/>
      <c r="E6" s="366"/>
      <c r="F6" s="366"/>
      <c r="G6" s="366"/>
      <c r="H6" s="141"/>
    </row>
    <row r="7" spans="1:8" ht="33" customHeight="1" x14ac:dyDescent="0.25">
      <c r="A7" s="94" t="s">
        <v>120</v>
      </c>
      <c r="B7" s="94"/>
      <c r="C7" s="88">
        <v>1</v>
      </c>
      <c r="D7" s="365"/>
      <c r="E7" s="366"/>
      <c r="F7" s="366"/>
      <c r="G7" s="366"/>
      <c r="H7" s="141">
        <v>626110</v>
      </c>
    </row>
    <row r="8" spans="1:8" ht="30" customHeight="1" x14ac:dyDescent="0.25">
      <c r="A8" s="142" t="s">
        <v>115</v>
      </c>
      <c r="B8" s="142"/>
      <c r="C8" s="92"/>
      <c r="D8" s="367"/>
      <c r="E8" s="373">
        <v>1</v>
      </c>
      <c r="F8" s="373" t="s">
        <v>92</v>
      </c>
      <c r="G8" s="369" t="s">
        <v>93</v>
      </c>
      <c r="H8" s="145"/>
    </row>
    <row r="9" spans="1:8" ht="30" x14ac:dyDescent="0.25">
      <c r="A9" s="143" t="s">
        <v>119</v>
      </c>
      <c r="B9" s="143"/>
      <c r="C9" s="33">
        <v>1</v>
      </c>
      <c r="D9" s="368"/>
      <c r="E9" s="374"/>
      <c r="F9" s="374"/>
      <c r="G9" s="370"/>
      <c r="H9" s="141">
        <v>626110</v>
      </c>
    </row>
    <row r="10" spans="1:8" x14ac:dyDescent="0.25">
      <c r="A10" s="142" t="s">
        <v>112</v>
      </c>
      <c r="B10" s="142"/>
      <c r="C10" s="93"/>
      <c r="D10" s="368"/>
      <c r="E10" s="374"/>
      <c r="F10" s="374"/>
      <c r="G10" s="370"/>
      <c r="H10" s="145"/>
    </row>
    <row r="11" spans="1:8" ht="30" x14ac:dyDescent="0.25">
      <c r="A11" s="144" t="s">
        <v>116</v>
      </c>
      <c r="B11" s="144"/>
      <c r="C11" s="33">
        <v>1</v>
      </c>
      <c r="D11" s="368"/>
      <c r="E11" s="374"/>
      <c r="F11" s="374"/>
      <c r="G11" s="370"/>
      <c r="H11" s="146">
        <v>626110</v>
      </c>
    </row>
    <row r="12" spans="1:8" x14ac:dyDescent="0.25">
      <c r="A12" s="95" t="s">
        <v>115</v>
      </c>
      <c r="B12" s="95"/>
      <c r="C12" s="80"/>
      <c r="D12" s="365"/>
      <c r="E12" s="372">
        <v>1</v>
      </c>
      <c r="F12" s="366" t="s">
        <v>92</v>
      </c>
      <c r="G12" s="372" t="s">
        <v>93</v>
      </c>
      <c r="H12" s="147"/>
    </row>
    <row r="13" spans="1:8" ht="15.75" x14ac:dyDescent="0.25">
      <c r="A13" s="96" t="s">
        <v>118</v>
      </c>
      <c r="B13" s="96"/>
      <c r="C13" s="140">
        <v>1</v>
      </c>
      <c r="D13" s="365"/>
      <c r="E13" s="372"/>
      <c r="F13" s="366"/>
      <c r="G13" s="372"/>
      <c r="H13" s="141">
        <v>626110</v>
      </c>
    </row>
    <row r="14" spans="1:8" x14ac:dyDescent="0.25">
      <c r="A14" s="95" t="s">
        <v>112</v>
      </c>
      <c r="B14" s="95"/>
      <c r="C14" s="80"/>
      <c r="D14" s="365"/>
      <c r="E14" s="372"/>
      <c r="F14" s="366"/>
      <c r="G14" s="372"/>
      <c r="H14" s="147"/>
    </row>
    <row r="15" spans="1:8" ht="57.75" customHeight="1" x14ac:dyDescent="0.25">
      <c r="A15" s="97" t="s">
        <v>117</v>
      </c>
      <c r="B15" s="97"/>
      <c r="C15" s="140">
        <v>1</v>
      </c>
      <c r="D15" s="365"/>
      <c r="E15" s="372"/>
      <c r="F15" s="366"/>
      <c r="G15" s="372"/>
      <c r="H15" s="141">
        <v>626110</v>
      </c>
    </row>
    <row r="16" spans="1:8" x14ac:dyDescent="0.25">
      <c r="A16" s="142" t="s">
        <v>115</v>
      </c>
      <c r="B16" s="142"/>
      <c r="C16" s="92"/>
      <c r="D16" s="367"/>
      <c r="E16" s="369">
        <v>1</v>
      </c>
      <c r="F16" s="369" t="s">
        <v>96</v>
      </c>
      <c r="G16" s="372" t="s">
        <v>93</v>
      </c>
      <c r="H16" s="148"/>
    </row>
    <row r="17" spans="1:9" ht="30" x14ac:dyDescent="0.25">
      <c r="A17" s="144" t="s">
        <v>124</v>
      </c>
      <c r="B17" s="144"/>
      <c r="C17" s="140">
        <v>1</v>
      </c>
      <c r="D17" s="368"/>
      <c r="E17" s="370"/>
      <c r="F17" s="370"/>
      <c r="G17" s="372"/>
      <c r="H17" s="141">
        <v>626110</v>
      </c>
    </row>
    <row r="18" spans="1:9" x14ac:dyDescent="0.25">
      <c r="A18" s="142" t="s">
        <v>112</v>
      </c>
      <c r="B18" s="142"/>
      <c r="C18" s="98"/>
      <c r="D18" s="368"/>
      <c r="E18" s="370"/>
      <c r="F18" s="370"/>
      <c r="G18" s="372"/>
      <c r="H18" s="148"/>
    </row>
    <row r="19" spans="1:9" ht="30" x14ac:dyDescent="0.25">
      <c r="A19" s="144" t="s">
        <v>124</v>
      </c>
      <c r="B19" s="144"/>
      <c r="C19" s="140">
        <v>1</v>
      </c>
      <c r="D19" s="368"/>
      <c r="E19" s="371"/>
      <c r="F19" s="371"/>
      <c r="G19" s="372"/>
      <c r="H19" s="141">
        <v>626110</v>
      </c>
    </row>
    <row r="20" spans="1:9" ht="45" x14ac:dyDescent="0.25">
      <c r="A20" s="20" t="s">
        <v>155</v>
      </c>
      <c r="B20" s="29" t="s">
        <v>152</v>
      </c>
      <c r="C20" s="140">
        <v>1</v>
      </c>
      <c r="D20" s="140"/>
      <c r="E20" s="140"/>
      <c r="F20" s="140" t="s">
        <v>96</v>
      </c>
      <c r="G20" s="140" t="s">
        <v>156</v>
      </c>
      <c r="H20" s="141">
        <v>0</v>
      </c>
      <c r="I20" s="13" t="s">
        <v>158</v>
      </c>
    </row>
    <row r="21" spans="1:9" x14ac:dyDescent="0.25">
      <c r="A21" s="21"/>
      <c r="B21" s="21"/>
      <c r="C21" s="21"/>
      <c r="D21" s="21"/>
      <c r="E21" s="21"/>
      <c r="F21" s="21"/>
      <c r="G21" s="21"/>
      <c r="H21" s="21"/>
    </row>
    <row r="23" spans="1:9" x14ac:dyDescent="0.25">
      <c r="C23" s="100">
        <f>SUM(C2:C21)</f>
        <v>11</v>
      </c>
      <c r="H23" s="99">
        <f>SUM(H2:H21)</f>
        <v>6261100</v>
      </c>
    </row>
  </sheetData>
  <mergeCells count="16">
    <mergeCell ref="D2:D7"/>
    <mergeCell ref="E2:E7"/>
    <mergeCell ref="F2:F7"/>
    <mergeCell ref="G2:G7"/>
    <mergeCell ref="D16:D19"/>
    <mergeCell ref="E16:E19"/>
    <mergeCell ref="F16:F19"/>
    <mergeCell ref="G16:G19"/>
    <mergeCell ref="D8:D11"/>
    <mergeCell ref="E8:E11"/>
    <mergeCell ref="F8:F11"/>
    <mergeCell ref="G8:G11"/>
    <mergeCell ref="D12:D15"/>
    <mergeCell ref="E12:E15"/>
    <mergeCell ref="F12:F15"/>
    <mergeCell ref="G12:G15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3DC56-3E98-4FEC-B097-7412EB3A75B1}">
  <dimension ref="A1:M15"/>
  <sheetViews>
    <sheetView zoomScale="85" zoomScaleNormal="85" workbookViewId="0">
      <pane xSplit="8" topLeftCell="I1" activePane="topRight" state="frozen"/>
      <selection pane="topRight" activeCell="E25" sqref="E24:E25"/>
    </sheetView>
  </sheetViews>
  <sheetFormatPr defaultColWidth="26.85546875" defaultRowHeight="15" x14ac:dyDescent="0.25"/>
  <cols>
    <col min="1" max="1" width="5.140625" style="4" customWidth="1"/>
    <col min="2" max="2" width="16.5703125" style="199" customWidth="1"/>
    <col min="3" max="3" width="25" style="4" customWidth="1"/>
    <col min="4" max="4" width="22.140625" style="4" customWidth="1"/>
    <col min="5" max="5" width="19.42578125" style="4" customWidth="1"/>
    <col min="6" max="6" width="8.42578125" style="4" customWidth="1"/>
    <col min="7" max="7" width="11" style="4" customWidth="1"/>
    <col min="8" max="8" width="16.5703125" style="4" customWidth="1"/>
    <col min="9" max="9" width="19.42578125" customWidth="1"/>
    <col min="11" max="11" width="17" customWidth="1"/>
    <col min="12" max="12" width="21.85546875" customWidth="1"/>
    <col min="13" max="13" width="20" style="1" customWidth="1"/>
    <col min="14" max="14" width="19.140625" customWidth="1"/>
    <col min="15" max="16" width="20.85546875" customWidth="1"/>
    <col min="17" max="17" width="22.42578125" customWidth="1"/>
  </cols>
  <sheetData>
    <row r="1" spans="1:13" x14ac:dyDescent="0.25">
      <c r="C1" s="27"/>
    </row>
    <row r="2" spans="1:13" ht="45" x14ac:dyDescent="0.25">
      <c r="A2" s="198"/>
      <c r="B2" s="198" t="s">
        <v>185</v>
      </c>
      <c r="C2" s="26" t="s">
        <v>134</v>
      </c>
      <c r="D2" s="17" t="s">
        <v>135</v>
      </c>
      <c r="E2" s="17" t="s">
        <v>136</v>
      </c>
      <c r="F2" s="17" t="s">
        <v>59</v>
      </c>
      <c r="G2" s="17" t="s">
        <v>137</v>
      </c>
      <c r="H2" s="18" t="s">
        <v>138</v>
      </c>
      <c r="I2" s="18" t="s">
        <v>140</v>
      </c>
      <c r="J2" s="18" t="s">
        <v>144</v>
      </c>
      <c r="K2" s="18" t="s">
        <v>143</v>
      </c>
      <c r="L2" s="18" t="s">
        <v>139</v>
      </c>
      <c r="M2" s="153" t="s">
        <v>189</v>
      </c>
    </row>
    <row r="3" spans="1:13" s="25" customFormat="1" ht="30" x14ac:dyDescent="0.25">
      <c r="A3" s="122">
        <v>13</v>
      </c>
      <c r="B3" s="132" t="s">
        <v>176</v>
      </c>
      <c r="C3" s="121" t="s">
        <v>56</v>
      </c>
      <c r="D3" s="121" t="s">
        <v>229</v>
      </c>
      <c r="E3" s="121" t="s">
        <v>229</v>
      </c>
      <c r="F3" s="132" t="s">
        <v>230</v>
      </c>
      <c r="G3" s="122"/>
      <c r="H3" s="133" t="s">
        <v>231</v>
      </c>
      <c r="I3" s="65">
        <v>6</v>
      </c>
      <c r="J3" s="79">
        <v>92</v>
      </c>
      <c r="K3" s="79">
        <v>20</v>
      </c>
      <c r="L3" s="61">
        <f t="shared" ref="L3:L5" si="0">(J3*800+K3*2390)*I3</f>
        <v>728400</v>
      </c>
      <c r="M3" s="117" t="s">
        <v>159</v>
      </c>
    </row>
    <row r="4" spans="1:13" s="25" customFormat="1" ht="30" x14ac:dyDescent="0.25">
      <c r="A4" s="122">
        <v>14</v>
      </c>
      <c r="B4" s="132" t="s">
        <v>176</v>
      </c>
      <c r="C4" s="121" t="s">
        <v>56</v>
      </c>
      <c r="D4" s="121" t="s">
        <v>229</v>
      </c>
      <c r="E4" s="121" t="s">
        <v>229</v>
      </c>
      <c r="F4" s="132" t="s">
        <v>230</v>
      </c>
      <c r="G4" s="122"/>
      <c r="H4" s="133" t="s">
        <v>231</v>
      </c>
      <c r="I4" s="65">
        <v>6</v>
      </c>
      <c r="J4" s="79">
        <v>92</v>
      </c>
      <c r="K4" s="79">
        <v>20</v>
      </c>
      <c r="L4" s="61">
        <f t="shared" si="0"/>
        <v>728400</v>
      </c>
      <c r="M4" s="117" t="s">
        <v>159</v>
      </c>
    </row>
    <row r="5" spans="1:13" s="214" customFormat="1" x14ac:dyDescent="0.25">
      <c r="A5" s="228">
        <v>15</v>
      </c>
      <c r="B5" s="230" t="s">
        <v>178</v>
      </c>
      <c r="C5" s="134"/>
      <c r="D5" s="121" t="s">
        <v>229</v>
      </c>
      <c r="E5" s="121" t="s">
        <v>229</v>
      </c>
      <c r="F5" s="228"/>
      <c r="G5" s="228"/>
      <c r="H5" s="229"/>
      <c r="I5" s="194">
        <v>3</v>
      </c>
      <c r="J5" s="194">
        <v>92</v>
      </c>
      <c r="K5" s="194">
        <v>20</v>
      </c>
      <c r="L5" s="139">
        <f t="shared" si="0"/>
        <v>364200</v>
      </c>
      <c r="M5" s="215" t="s">
        <v>194</v>
      </c>
    </row>
    <row r="6" spans="1:13" x14ac:dyDescent="0.25">
      <c r="A6" s="128"/>
      <c r="C6" s="128"/>
      <c r="D6" s="15"/>
      <c r="E6" s="128"/>
      <c r="F6" s="128"/>
      <c r="G6" s="128"/>
      <c r="H6" s="128"/>
      <c r="L6" s="35">
        <f>SUM(L3:L5)</f>
        <v>1821000</v>
      </c>
    </row>
    <row r="7" spans="1:13" x14ac:dyDescent="0.25">
      <c r="A7" s="199"/>
      <c r="B7" s="198" t="s">
        <v>90</v>
      </c>
      <c r="C7" s="198" t="s">
        <v>114</v>
      </c>
      <c r="D7" s="198" t="s">
        <v>162</v>
      </c>
      <c r="E7" s="199"/>
      <c r="F7" s="199"/>
      <c r="G7" s="199"/>
      <c r="H7" s="199"/>
      <c r="L7" s="35"/>
    </row>
    <row r="8" spans="1:13" x14ac:dyDescent="0.25">
      <c r="A8" s="199"/>
      <c r="B8" s="234" t="s">
        <v>195</v>
      </c>
      <c r="C8" s="235">
        <v>6</v>
      </c>
      <c r="D8" s="30">
        <f>SUMIF(M3:M5,"Завершена",L3:L5)</f>
        <v>0</v>
      </c>
      <c r="E8" s="199"/>
      <c r="F8" s="199"/>
      <c r="G8" s="199"/>
      <c r="H8" s="199"/>
      <c r="L8" s="35"/>
    </row>
    <row r="9" spans="1:13" x14ac:dyDescent="0.25">
      <c r="A9" s="199"/>
      <c r="B9" s="236" t="s">
        <v>159</v>
      </c>
      <c r="C9" s="235">
        <v>7</v>
      </c>
      <c r="D9" s="30">
        <f>SUMIF(M3:M5,"Запущена",L3:L5)</f>
        <v>1456800</v>
      </c>
      <c r="E9" s="199"/>
      <c r="F9" s="199"/>
      <c r="G9" s="199"/>
      <c r="H9" s="199"/>
      <c r="L9" s="35"/>
    </row>
    <row r="10" spans="1:13" x14ac:dyDescent="0.25">
      <c r="A10" s="199"/>
      <c r="B10" s="236" t="s">
        <v>193</v>
      </c>
      <c r="C10" s="235">
        <v>3</v>
      </c>
      <c r="D10" s="30">
        <f>SUMIF(M3:M5,"Кандидат найден",L3:L5)</f>
        <v>0</v>
      </c>
      <c r="E10" s="199"/>
      <c r="F10" s="199"/>
      <c r="G10" s="199"/>
      <c r="H10" s="199"/>
      <c r="L10" s="35"/>
    </row>
    <row r="11" spans="1:13" x14ac:dyDescent="0.25">
      <c r="A11" s="199"/>
      <c r="B11" s="236" t="s">
        <v>194</v>
      </c>
      <c r="C11" s="235">
        <v>2</v>
      </c>
      <c r="D11" s="30">
        <f>SUMIF(M3:M5,"Поиск кандидата",L3:L5)</f>
        <v>364200</v>
      </c>
      <c r="E11" s="199"/>
      <c r="F11" s="199"/>
      <c r="G11" s="199"/>
      <c r="H11" s="199"/>
      <c r="L11" s="35"/>
    </row>
    <row r="12" spans="1:13" x14ac:dyDescent="0.25">
      <c r="A12" s="199"/>
      <c r="B12" s="237" t="s">
        <v>196</v>
      </c>
      <c r="C12" s="41">
        <f>SUM(C8:C11)</f>
        <v>18</v>
      </c>
      <c r="D12" s="238">
        <f>SUM(D8:D11)</f>
        <v>1821000</v>
      </c>
      <c r="E12" s="199"/>
      <c r="F12" s="199"/>
      <c r="G12" s="199"/>
      <c r="H12" s="199"/>
      <c r="L12" s="35"/>
    </row>
    <row r="13" spans="1:13" x14ac:dyDescent="0.25">
      <c r="C13" s="27"/>
      <c r="D13" s="35"/>
      <c r="E13" s="27"/>
    </row>
    <row r="14" spans="1:13" x14ac:dyDescent="0.25">
      <c r="C14" s="159"/>
      <c r="D14" s="159"/>
    </row>
    <row r="15" spans="1:13" x14ac:dyDescent="0.25">
      <c r="C15" s="159"/>
      <c r="D15" s="160"/>
    </row>
  </sheetData>
  <autoFilter ref="M1:M58" xr:uid="{3F23DC56-3E98-4FEC-B097-7412EB3A75B1}"/>
  <phoneticPr fontId="3" type="noConversion"/>
  <dataValidations count="1">
    <dataValidation type="list" allowBlank="1" showInputMessage="1" showErrorMessage="1" sqref="M3:M5" xr:uid="{6572C3B4-A511-403B-BE9B-2256F6E40F0D}">
      <formula1>"Поиск кандидата, Кандидат найден, Запущена, Завершена"</formula1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834CA-D883-4533-9CBE-930ECA4C0DCB}">
  <sheetPr>
    <tabColor theme="5" tint="0.39997558519241921"/>
  </sheetPr>
  <dimension ref="A1:F5"/>
  <sheetViews>
    <sheetView workbookViewId="0">
      <selection activeCell="D9" sqref="D9"/>
    </sheetView>
  </sheetViews>
  <sheetFormatPr defaultRowHeight="15" x14ac:dyDescent="0.25"/>
  <cols>
    <col min="1" max="2" width="17.5703125" customWidth="1"/>
    <col min="3" max="3" width="11.42578125" customWidth="1"/>
    <col min="4" max="4" width="13.42578125" customWidth="1"/>
    <col min="5" max="5" width="11.5703125" customWidth="1"/>
    <col min="6" max="6" width="11.85546875" customWidth="1"/>
  </cols>
  <sheetData>
    <row r="1" spans="1:6" x14ac:dyDescent="0.25">
      <c r="A1" s="21"/>
      <c r="B1" s="34">
        <v>2026</v>
      </c>
      <c r="C1" s="34">
        <v>2027</v>
      </c>
      <c r="D1" s="34">
        <v>2028</v>
      </c>
      <c r="E1" s="34">
        <v>2029</v>
      </c>
      <c r="F1" s="34">
        <v>2030</v>
      </c>
    </row>
    <row r="2" spans="1:6" x14ac:dyDescent="0.25">
      <c r="A2" s="75" t="s">
        <v>49</v>
      </c>
      <c r="B2" s="76">
        <v>36000000</v>
      </c>
      <c r="C2" s="76"/>
      <c r="D2" s="76"/>
      <c r="E2" s="76"/>
      <c r="F2" s="77"/>
    </row>
    <row r="3" spans="1:6" x14ac:dyDescent="0.25">
      <c r="A3" s="21" t="s">
        <v>49</v>
      </c>
      <c r="B3" s="30">
        <v>650000000</v>
      </c>
      <c r="C3" s="78"/>
      <c r="D3" s="78"/>
      <c r="E3" s="30"/>
      <c r="F3" s="71"/>
    </row>
    <row r="4" spans="1:6" x14ac:dyDescent="0.25">
      <c r="A4" s="21" t="s">
        <v>232</v>
      </c>
      <c r="B4" s="30">
        <v>1000000000</v>
      </c>
      <c r="C4" s="76"/>
      <c r="D4" s="76"/>
      <c r="E4" s="76"/>
      <c r="F4" s="77"/>
    </row>
    <row r="5" spans="1:6" x14ac:dyDescent="0.25">
      <c r="B5" s="64">
        <f>SUM(B3:B4)</f>
        <v>1650000000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979FE-4975-4A77-AA02-F00A32D40CC8}">
  <dimension ref="A2:K27"/>
  <sheetViews>
    <sheetView topLeftCell="A2" zoomScale="85" zoomScaleNormal="85" workbookViewId="0">
      <selection activeCell="E17" sqref="E17"/>
    </sheetView>
  </sheetViews>
  <sheetFormatPr defaultRowHeight="15" x14ac:dyDescent="0.25"/>
  <cols>
    <col min="1" max="1" width="4.140625" style="4" customWidth="1"/>
    <col min="2" max="2" width="54.5703125" style="8" customWidth="1"/>
    <col min="3" max="3" width="73.85546875" style="7" customWidth="1"/>
    <col min="4" max="4" width="13.85546875" style="4" customWidth="1"/>
    <col min="5" max="5" width="12.85546875" customWidth="1"/>
    <col min="6" max="6" width="8.7109375" style="1"/>
    <col min="7" max="7" width="18.140625" customWidth="1"/>
    <col min="8" max="8" width="14.85546875" customWidth="1"/>
    <col min="9" max="9" width="11.85546875" customWidth="1"/>
    <col min="10" max="11" width="15.5703125" bestFit="1" customWidth="1"/>
  </cols>
  <sheetData>
    <row r="2" spans="1:11" ht="45" x14ac:dyDescent="0.25">
      <c r="B2" s="375" t="s">
        <v>36</v>
      </c>
      <c r="C2" s="377" t="s">
        <v>37</v>
      </c>
      <c r="D2" s="3" t="s">
        <v>35</v>
      </c>
      <c r="E2" s="3" t="s">
        <v>38</v>
      </c>
      <c r="F2" s="3" t="s">
        <v>39</v>
      </c>
      <c r="G2" s="3" t="s">
        <v>40</v>
      </c>
      <c r="H2" s="3" t="s">
        <v>41</v>
      </c>
      <c r="I2" s="3" t="s">
        <v>12</v>
      </c>
      <c r="J2" s="3" t="s">
        <v>42</v>
      </c>
      <c r="K2" s="3" t="s">
        <v>43</v>
      </c>
    </row>
    <row r="3" spans="1:11" x14ac:dyDescent="0.25">
      <c r="B3" s="375"/>
      <c r="C3" s="377"/>
      <c r="E3" s="4">
        <v>2</v>
      </c>
      <c r="F3" s="3">
        <f>20*E3</f>
        <v>40</v>
      </c>
      <c r="G3" s="4">
        <v>4</v>
      </c>
      <c r="H3" s="4">
        <f>F3*G3</f>
        <v>160</v>
      </c>
      <c r="I3" s="9">
        <f>H3*50*800</f>
        <v>6400000</v>
      </c>
      <c r="J3" s="9">
        <f>H3*100*800</f>
        <v>12800000</v>
      </c>
      <c r="K3" s="9">
        <f>H3*200*800</f>
        <v>25600000</v>
      </c>
    </row>
    <row r="4" spans="1:11" s="6" customFormat="1" ht="45" x14ac:dyDescent="0.25">
      <c r="A4" s="3" t="s">
        <v>0</v>
      </c>
      <c r="B4" s="11" t="s">
        <v>24</v>
      </c>
      <c r="C4" s="8" t="s">
        <v>23</v>
      </c>
      <c r="D4" s="4">
        <v>4.1399999999999997</v>
      </c>
    </row>
    <row r="5" spans="1:11" s="5" customFormat="1" ht="45" customHeight="1" x14ac:dyDescent="0.25">
      <c r="A5" s="375" t="s">
        <v>1</v>
      </c>
      <c r="B5" s="376" t="s">
        <v>25</v>
      </c>
      <c r="C5" s="8" t="s">
        <v>15</v>
      </c>
      <c r="D5" s="12">
        <v>2039.85</v>
      </c>
      <c r="F5" s="6"/>
    </row>
    <row r="6" spans="1:11" x14ac:dyDescent="0.25">
      <c r="A6" s="375"/>
      <c r="B6" s="376"/>
      <c r="C6" s="8" t="s">
        <v>26</v>
      </c>
      <c r="D6" s="4">
        <v>626.11</v>
      </c>
    </row>
    <row r="7" spans="1:11" x14ac:dyDescent="0.25">
      <c r="A7" s="375"/>
      <c r="B7" s="376"/>
      <c r="C7" s="8" t="s">
        <v>17</v>
      </c>
      <c r="D7" s="4">
        <v>312.3</v>
      </c>
    </row>
    <row r="8" spans="1:11" s="5" customFormat="1" ht="45" customHeight="1" x14ac:dyDescent="0.25">
      <c r="A8" s="375" t="s">
        <v>2</v>
      </c>
      <c r="B8" s="376" t="s">
        <v>27</v>
      </c>
      <c r="C8" s="8" t="s">
        <v>28</v>
      </c>
      <c r="D8" s="4">
        <v>300</v>
      </c>
      <c r="F8" s="6"/>
    </row>
    <row r="9" spans="1:11" x14ac:dyDescent="0.25">
      <c r="A9" s="375"/>
      <c r="B9" s="376"/>
      <c r="C9" s="8" t="s">
        <v>20</v>
      </c>
      <c r="D9" s="4">
        <v>160</v>
      </c>
    </row>
    <row r="10" spans="1:11" x14ac:dyDescent="0.25">
      <c r="A10" s="375"/>
      <c r="B10" s="376"/>
      <c r="C10" s="8" t="s">
        <v>21</v>
      </c>
      <c r="D10" s="4">
        <v>55</v>
      </c>
    </row>
    <row r="11" spans="1:11" s="5" customFormat="1" ht="45" customHeight="1" x14ac:dyDescent="0.25">
      <c r="A11" s="375" t="s">
        <v>3</v>
      </c>
      <c r="B11" s="376" t="s">
        <v>29</v>
      </c>
      <c r="C11" s="8" t="s">
        <v>10</v>
      </c>
      <c r="D11" s="4">
        <v>0.8</v>
      </c>
      <c r="E11" s="4"/>
      <c r="F11" s="3"/>
      <c r="G11" s="4"/>
      <c r="H11" s="4">
        <f>H3*D11</f>
        <v>128</v>
      </c>
      <c r="I11" s="9"/>
      <c r="J11" s="10"/>
      <c r="K11" s="10"/>
    </row>
    <row r="12" spans="1:11" x14ac:dyDescent="0.25">
      <c r="A12" s="375"/>
      <c r="B12" s="376"/>
      <c r="C12" s="8" t="s">
        <v>11</v>
      </c>
      <c r="D12" s="4">
        <v>2.39</v>
      </c>
      <c r="E12" s="4"/>
      <c r="F12" s="3"/>
      <c r="G12" s="4"/>
      <c r="H12" s="4">
        <f>D12</f>
        <v>2.39</v>
      </c>
      <c r="I12" s="5"/>
      <c r="J12" s="5"/>
      <c r="K12" s="5"/>
    </row>
    <row r="13" spans="1:11" s="5" customFormat="1" ht="30" x14ac:dyDescent="0.25">
      <c r="A13" s="4" t="s">
        <v>4</v>
      </c>
      <c r="B13" s="11" t="s">
        <v>13</v>
      </c>
      <c r="C13" s="8" t="s">
        <v>23</v>
      </c>
      <c r="D13" s="4">
        <v>3.9</v>
      </c>
      <c r="F13" s="6"/>
    </row>
    <row r="14" spans="1:11" s="5" customFormat="1" ht="60" customHeight="1" x14ac:dyDescent="0.25">
      <c r="A14" s="375" t="s">
        <v>5</v>
      </c>
      <c r="B14" s="376" t="s">
        <v>14</v>
      </c>
      <c r="C14" s="8" t="s">
        <v>15</v>
      </c>
      <c r="D14" s="12">
        <v>1731.36</v>
      </c>
      <c r="F14" s="6"/>
    </row>
    <row r="15" spans="1:11" x14ac:dyDescent="0.25">
      <c r="A15" s="375"/>
      <c r="B15" s="376"/>
      <c r="C15" s="8" t="s">
        <v>16</v>
      </c>
      <c r="D15" s="4">
        <v>427.44</v>
      </c>
    </row>
    <row r="16" spans="1:11" x14ac:dyDescent="0.25">
      <c r="A16" s="375"/>
      <c r="B16" s="376"/>
      <c r="C16" s="8" t="s">
        <v>17</v>
      </c>
      <c r="D16" s="4">
        <v>171</v>
      </c>
    </row>
    <row r="17" spans="1:6" s="5" customFormat="1" ht="45" customHeight="1" x14ac:dyDescent="0.25">
      <c r="A17" s="375" t="s">
        <v>6</v>
      </c>
      <c r="B17" s="376" t="s">
        <v>18</v>
      </c>
      <c r="C17" s="8" t="s">
        <v>19</v>
      </c>
      <c r="D17" s="4">
        <v>270.75</v>
      </c>
      <c r="F17" s="6"/>
    </row>
    <row r="18" spans="1:6" x14ac:dyDescent="0.25">
      <c r="A18" s="375"/>
      <c r="B18" s="376"/>
      <c r="C18" s="8" t="s">
        <v>20</v>
      </c>
      <c r="D18" s="4">
        <v>150</v>
      </c>
    </row>
    <row r="19" spans="1:6" x14ac:dyDescent="0.25">
      <c r="A19" s="375"/>
      <c r="B19" s="376"/>
      <c r="C19" s="8" t="s">
        <v>21</v>
      </c>
      <c r="D19" s="4">
        <v>58.06</v>
      </c>
    </row>
    <row r="20" spans="1:6" s="5" customFormat="1" ht="45" customHeight="1" x14ac:dyDescent="0.25">
      <c r="A20" s="375" t="s">
        <v>7</v>
      </c>
      <c r="B20" s="376" t="s">
        <v>22</v>
      </c>
      <c r="C20" s="8" t="s">
        <v>10</v>
      </c>
      <c r="D20" s="4">
        <v>0.8</v>
      </c>
      <c r="F20" s="6"/>
    </row>
    <row r="21" spans="1:6" x14ac:dyDescent="0.25">
      <c r="A21" s="375"/>
      <c r="B21" s="376"/>
      <c r="C21" s="8" t="s">
        <v>11</v>
      </c>
      <c r="D21" s="4">
        <v>2.39</v>
      </c>
    </row>
    <row r="22" spans="1:6" s="5" customFormat="1" ht="60" customHeight="1" x14ac:dyDescent="0.25">
      <c r="A22" s="375" t="s">
        <v>8</v>
      </c>
      <c r="B22" s="376" t="s">
        <v>30</v>
      </c>
      <c r="C22" s="8" t="s">
        <v>15</v>
      </c>
      <c r="D22" s="4">
        <v>530.89</v>
      </c>
      <c r="F22" s="6"/>
    </row>
    <row r="23" spans="1:6" x14ac:dyDescent="0.25">
      <c r="A23" s="375"/>
      <c r="B23" s="376"/>
      <c r="C23" s="8" t="s">
        <v>23</v>
      </c>
      <c r="D23" s="4">
        <v>4.26</v>
      </c>
    </row>
    <row r="24" spans="1:6" s="5" customFormat="1" ht="75" customHeight="1" x14ac:dyDescent="0.25">
      <c r="A24" s="375" t="s">
        <v>9</v>
      </c>
      <c r="B24" s="376" t="s">
        <v>31</v>
      </c>
      <c r="C24" s="7" t="s">
        <v>32</v>
      </c>
      <c r="D24" s="3">
        <v>6.8</v>
      </c>
      <c r="F24" s="6"/>
    </row>
    <row r="25" spans="1:6" s="2" customFormat="1" x14ac:dyDescent="0.25">
      <c r="A25" s="375"/>
      <c r="B25" s="376"/>
      <c r="C25" s="7" t="s">
        <v>33</v>
      </c>
      <c r="D25" s="3">
        <v>5.33</v>
      </c>
    </row>
    <row r="26" spans="1:6" s="2" customFormat="1" x14ac:dyDescent="0.25">
      <c r="A26" s="375"/>
      <c r="B26" s="376"/>
      <c r="C26" s="7" t="s">
        <v>34</v>
      </c>
      <c r="D26" s="3">
        <v>8.59</v>
      </c>
    </row>
    <row r="27" spans="1:6" s="2" customFormat="1" x14ac:dyDescent="0.25">
      <c r="A27" s="3"/>
      <c r="B27" s="7"/>
      <c r="C27" s="7"/>
      <c r="D27" s="3"/>
    </row>
  </sheetData>
  <mergeCells count="18">
    <mergeCell ref="B2:B3"/>
    <mergeCell ref="C2:C3"/>
    <mergeCell ref="A5:A7"/>
    <mergeCell ref="B5:B7"/>
    <mergeCell ref="A8:A10"/>
    <mergeCell ref="B8:B10"/>
    <mergeCell ref="A11:A12"/>
    <mergeCell ref="B11:B12"/>
    <mergeCell ref="A14:A16"/>
    <mergeCell ref="B14:B16"/>
    <mergeCell ref="A17:A19"/>
    <mergeCell ref="B17:B19"/>
    <mergeCell ref="A20:A21"/>
    <mergeCell ref="B20:B21"/>
    <mergeCell ref="A22:A23"/>
    <mergeCell ref="B22:B23"/>
    <mergeCell ref="A24:A26"/>
    <mergeCell ref="B24:B2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Светофор</vt:lpstr>
      <vt:lpstr>СВОД_финмодель</vt:lpstr>
      <vt:lpstr>Преподавание</vt:lpstr>
      <vt:lpstr>РПД</vt:lpstr>
      <vt:lpstr>ООП</vt:lpstr>
      <vt:lpstr>Стажировка</vt:lpstr>
      <vt:lpstr>ТОП ИТ</vt:lpstr>
      <vt:lpstr>Медианные значения МЦ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Саркис Шмавонян</dc:creator>
  <cp:lastModifiedBy>Саркис Шмавонян</cp:lastModifiedBy>
  <dcterms:created xsi:type="dcterms:W3CDTF">2025-11-24T10:54:28Z</dcterms:created>
  <dcterms:modified xsi:type="dcterms:W3CDTF">2026-09-23T19:46:20Z</dcterms:modified>
</cp:coreProperties>
</file>